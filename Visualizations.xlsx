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Cyclistic_Project\Data\visuals\"/>
    </mc:Choice>
  </mc:AlternateContent>
  <xr:revisionPtr revIDLastSave="0" documentId="13_ncr:1_{377BA867-4B87-4143-9581-1F63A441A76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ables &amp; Calculations" sheetId="13" r:id="rId1"/>
    <sheet name="user &amp; bike type" sheetId="2" r:id="rId2"/>
    <sheet name="Visualizations" sheetId="14" r:id="rId3"/>
    <sheet name="Average ride duration " sheetId="4" r:id="rId4"/>
    <sheet name="rides by hour of day " sheetId="10" r:id="rId5"/>
    <sheet name="Number of rides by day of week " sheetId="5" r:id="rId6"/>
    <sheet name="rides by month 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I200" i="13"/>
  <c r="I199" i="13"/>
  <c r="E222" i="13"/>
  <c r="I206" i="13" s="1"/>
  <c r="E221" i="13"/>
  <c r="E220" i="13"/>
  <c r="E219" i="13"/>
  <c r="I205" i="13" s="1"/>
  <c r="E218" i="13"/>
  <c r="E217" i="13"/>
  <c r="E216" i="13"/>
  <c r="I204" i="13" s="1"/>
  <c r="E215" i="13"/>
  <c r="E214" i="13"/>
  <c r="E213" i="13"/>
  <c r="I203" i="13" s="1"/>
  <c r="E212" i="13"/>
  <c r="E211" i="13"/>
  <c r="E210" i="13"/>
  <c r="I202" i="13" s="1"/>
  <c r="E209" i="13"/>
  <c r="E208" i="13"/>
  <c r="E207" i="13"/>
  <c r="I201" i="13" s="1"/>
  <c r="E206" i="13"/>
  <c r="E205" i="13"/>
  <c r="E204" i="13"/>
  <c r="E203" i="13"/>
  <c r="E202" i="13"/>
  <c r="E201" i="13"/>
  <c r="E200" i="13"/>
  <c r="E199" i="13"/>
  <c r="I172" i="13"/>
  <c r="I173" i="13"/>
  <c r="I174" i="13"/>
  <c r="I175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I176" i="13" s="1"/>
  <c r="D187" i="13"/>
  <c r="D188" i="13"/>
  <c r="D189" i="13"/>
  <c r="I177" i="13" s="1"/>
  <c r="D190" i="13"/>
  <c r="D191" i="13"/>
  <c r="D192" i="13"/>
  <c r="I178" i="13" s="1"/>
  <c r="D193" i="13"/>
  <c r="D194" i="13"/>
  <c r="D195" i="13"/>
  <c r="E155" i="13"/>
  <c r="I155" i="13" s="1"/>
  <c r="E156" i="13"/>
  <c r="I156" i="13" s="1"/>
  <c r="E157" i="13"/>
  <c r="E158" i="13"/>
  <c r="E159" i="13"/>
  <c r="E160" i="13"/>
  <c r="E161" i="13"/>
  <c r="E162" i="13"/>
  <c r="E163" i="13"/>
  <c r="E164" i="13"/>
  <c r="E165" i="13"/>
  <c r="E166" i="13"/>
  <c r="I158" i="13" s="1"/>
  <c r="E167" i="13"/>
  <c r="E168" i="13"/>
  <c r="I157" i="13" s="1"/>
  <c r="I138" i="13"/>
  <c r="I139" i="13" s="1"/>
  <c r="I140" i="13"/>
  <c r="I141" i="13" s="1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I89" i="13"/>
  <c r="E134" i="13"/>
  <c r="E133" i="13"/>
  <c r="E132" i="13"/>
  <c r="E131" i="13"/>
  <c r="E130" i="13"/>
  <c r="E129" i="13"/>
  <c r="E128" i="13"/>
  <c r="I93" i="13" s="1"/>
  <c r="E127" i="13"/>
  <c r="E126" i="13"/>
  <c r="E125" i="13"/>
  <c r="E124" i="13"/>
  <c r="E123" i="13"/>
  <c r="E122" i="13"/>
  <c r="I92" i="13" s="1"/>
  <c r="E121" i="13"/>
  <c r="I91" i="13" s="1"/>
  <c r="E120" i="13"/>
  <c r="E119" i="13"/>
  <c r="E118" i="13"/>
  <c r="E117" i="13"/>
  <c r="E116" i="13"/>
  <c r="E115" i="13"/>
  <c r="E114" i="13"/>
  <c r="E113" i="13"/>
  <c r="E112" i="13"/>
  <c r="E111" i="13"/>
  <c r="I94" i="13" s="1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I88" i="13" s="1"/>
  <c r="E97" i="13"/>
  <c r="I87" i="13" s="1"/>
  <c r="E96" i="13"/>
  <c r="E95" i="13"/>
  <c r="E94" i="13"/>
  <c r="E93" i="13"/>
  <c r="E92" i="13"/>
  <c r="E91" i="13"/>
  <c r="E90" i="13"/>
  <c r="E89" i="13"/>
  <c r="E88" i="13"/>
  <c r="E87" i="13"/>
  <c r="I90" i="13" s="1"/>
  <c r="I36" i="13"/>
  <c r="J36" i="13" s="1"/>
  <c r="I37" i="13"/>
  <c r="J37" i="13" s="1"/>
  <c r="I38" i="13"/>
  <c r="J38" i="13" s="1"/>
  <c r="I39" i="13"/>
  <c r="J39" i="13" s="1"/>
  <c r="I40" i="13"/>
  <c r="J40" i="13"/>
  <c r="I41" i="13"/>
  <c r="J41" i="13" s="1"/>
  <c r="I42" i="13"/>
  <c r="J42" i="13" s="1"/>
  <c r="I43" i="13"/>
  <c r="J43" i="13" s="1"/>
  <c r="D32" i="13"/>
  <c r="D31" i="13"/>
  <c r="D30" i="13"/>
  <c r="D29" i="13"/>
  <c r="D28" i="13"/>
  <c r="D27" i="13"/>
  <c r="D26" i="13"/>
  <c r="D25" i="13"/>
  <c r="D16" i="13"/>
  <c r="D15" i="13"/>
  <c r="D14" i="13"/>
  <c r="D13" i="13"/>
  <c r="C8" i="13"/>
  <c r="C9" i="13"/>
  <c r="C3" i="13"/>
  <c r="C4" i="13"/>
  <c r="I179" i="13" l="1"/>
</calcChain>
</file>

<file path=xl/sharedStrings.xml><?xml version="1.0" encoding="utf-8"?>
<sst xmlns="http://schemas.openxmlformats.org/spreadsheetml/2006/main" count="453" uniqueCount="76">
  <si>
    <t>Number of rides by user type (casual vs member)</t>
  </si>
  <si>
    <t>classic_bike</t>
  </si>
  <si>
    <t>electric_bike</t>
  </si>
  <si>
    <t>casual</t>
  </si>
  <si>
    <t>member</t>
  </si>
  <si>
    <t>Number of rides by day of week for each user type</t>
  </si>
  <si>
    <t>Number of rides by hour of day for each user type</t>
  </si>
  <si>
    <t>Number of rides by month for each user type</t>
  </si>
  <si>
    <t>Average ride duration by day of week after excluding outliers</t>
  </si>
  <si>
    <t>Number of rides by bike type for each user type</t>
  </si>
  <si>
    <t>SUN</t>
  </si>
  <si>
    <t>MON</t>
  </si>
  <si>
    <t>TUE</t>
  </si>
  <si>
    <t>WED</t>
  </si>
  <si>
    <t>THU</t>
  </si>
  <si>
    <t>FRI</t>
  </si>
  <si>
    <t>SAT</t>
  </si>
  <si>
    <t>0-10</t>
  </si>
  <si>
    <t>20-40</t>
  </si>
  <si>
    <t>40+</t>
  </si>
  <si>
    <t>10-20</t>
  </si>
  <si>
    <t>Weekend vs Weekday comparison</t>
  </si>
  <si>
    <t>Weekday</t>
  </si>
  <si>
    <t>Weekend</t>
  </si>
  <si>
    <t>Morning</t>
  </si>
  <si>
    <t>Afternoon</t>
  </si>
  <si>
    <t>Evening</t>
  </si>
  <si>
    <t>Night</t>
  </si>
  <si>
    <t>Ride Duration Distribution by User Type</t>
  </si>
  <si>
    <t>Average Ride Duration by Hour</t>
  </si>
  <si>
    <t>Average ride duration by user type after excluding rides longer than 150 minutes</t>
  </si>
  <si>
    <t>Number of rides by bike type</t>
  </si>
  <si>
    <t>outliers</t>
  </si>
  <si>
    <t>Spring</t>
  </si>
  <si>
    <t>Summer</t>
  </si>
  <si>
    <t>Fall</t>
  </si>
  <si>
    <t>Winter</t>
  </si>
  <si>
    <t>Number of rides by Seasons for each user type</t>
  </si>
  <si>
    <t>Number of rides</t>
  </si>
  <si>
    <t xml:space="preserve">Number of rides * Average ride duration by day </t>
  </si>
  <si>
    <t>Average Ride Duration by time blocks</t>
  </si>
  <si>
    <t>Number of rides * Average Ride Duration</t>
  </si>
  <si>
    <t>Percentage</t>
  </si>
  <si>
    <t>Average Ride Duration by Month (excluding outliers)</t>
  </si>
  <si>
    <t>Average Ride Duration by Season</t>
  </si>
  <si>
    <t>Average Ride Duration (Weekday / Weekend)</t>
  </si>
  <si>
    <t>user type</t>
  </si>
  <si>
    <t>bike type</t>
  </si>
  <si>
    <t>Total</t>
  </si>
  <si>
    <t xml:space="preserve">Average ride duration </t>
  </si>
  <si>
    <t>Ride Duration Distribution</t>
  </si>
  <si>
    <t>hour of day</t>
  </si>
  <si>
    <t>Average Ride Duration</t>
  </si>
  <si>
    <t>hour comparison using time blocks</t>
  </si>
  <si>
    <t>time blocks</t>
  </si>
  <si>
    <t>day of week</t>
  </si>
  <si>
    <t>Weekend vs Weekday</t>
  </si>
  <si>
    <t>month</t>
  </si>
  <si>
    <t>Season</t>
  </si>
  <si>
    <t>Calculations</t>
  </si>
  <si>
    <t>JUN</t>
  </si>
  <si>
    <t>JAN</t>
  </si>
  <si>
    <t>FEB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</si>
  <si>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</si>
  <si>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</si>
  <si>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</si>
  <si>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</si>
  <si>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</si>
  <si>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</si>
  <si>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</si>
  <si>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</si>
  <si>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</si>
  <si>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10-20 min</t>
  </si>
  <si>
    <t>0-10 min</t>
  </si>
  <si>
    <t>20-40 min</t>
  </si>
  <si>
    <t>40+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</si>
</sst>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  <numFmt numFmtId="167" formatCode="##.00\ &quot;Min&quot;"/>
    <numFmt numFmtId="168" formatCode="##.00\ &quot;min&quot;"/>
    <numFmt numFmtId="169" formatCode="_(* #,##0.0_);_(* \(#,##0.0\);_(* &quot;-&quot;??_);_(@_)"/>
    <numFmt numFmtId="170" formatCode="00&quot;:00&quot;"/>
    <numFmt numFmtId="171" formatCode="0.00&quot; min&quot;"/>
    <numFmt numFmtId="172" formatCode="00.00\ &quot;min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808080"/>
      <name val="Consolas"/>
      <family val="3"/>
    </font>
    <font>
      <sz val="8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2" fontId="0" fillId="0" borderId="0" xfId="0" applyNumberFormat="1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/>
    <xf numFmtId="10" fontId="0" fillId="0" borderId="1" xfId="0" applyNumberFormat="1" applyBorder="1" applyAlignment="1">
      <alignment horizontal="center"/>
    </xf>
    <xf numFmtId="9" fontId="0" fillId="0" borderId="0" xfId="0" applyNumberFormat="1"/>
    <xf numFmtId="9" fontId="0" fillId="0" borderId="1" xfId="0" applyNumberFormat="1" applyBorder="1"/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5" borderId="1" xfId="0" applyFill="1" applyBorder="1"/>
    <xf numFmtId="164" fontId="0" fillId="0" borderId="0" xfId="2" applyNumberFormat="1" applyFont="1"/>
    <xf numFmtId="0" fontId="0" fillId="6" borderId="0" xfId="0" applyFill="1"/>
    <xf numFmtId="9" fontId="0" fillId="0" borderId="0" xfId="2" applyFon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2" fontId="0" fillId="0" borderId="0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9" fontId="0" fillId="0" borderId="0" xfId="2" applyFont="1"/>
    <xf numFmtId="10" fontId="0" fillId="0" borderId="0" xfId="2" applyNumberFormat="1" applyFont="1"/>
    <xf numFmtId="2" fontId="0" fillId="0" borderId="0" xfId="2" applyNumberFormat="1" applyFont="1"/>
    <xf numFmtId="0" fontId="4" fillId="0" borderId="1" xfId="0" applyFont="1" applyBorder="1"/>
    <xf numFmtId="2" fontId="0" fillId="0" borderId="0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164" fontId="0" fillId="0" borderId="0" xfId="2" applyNumberFormat="1" applyFont="1" applyBorder="1"/>
    <xf numFmtId="0" fontId="5" fillId="0" borderId="0" xfId="0" applyFont="1"/>
    <xf numFmtId="0" fontId="6" fillId="0" borderId="0" xfId="0" applyFont="1"/>
    <xf numFmtId="167" fontId="0" fillId="0" borderId="0" xfId="0" applyNumberFormat="1" applyAlignment="1">
      <alignment horizontal="center" vertical="center"/>
    </xf>
    <xf numFmtId="1" fontId="0" fillId="0" borderId="0" xfId="2" applyNumberFormat="1" applyFont="1"/>
    <xf numFmtId="168" fontId="0" fillId="0" borderId="0" xfId="0" applyNumberFormat="1"/>
    <xf numFmtId="169" fontId="0" fillId="0" borderId="0" xfId="1" applyNumberFormat="1" applyFon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Percentage of Rides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'user &amp; bike type'!$B$2</c:f>
              <c:strCache>
                <c:ptCount val="1"/>
                <c:pt idx="0">
                  <c:v>Number of rides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ED-482C-A44E-F30B43975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ED-482C-A44E-F30B4397572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 &amp; bike type'!$A$3:$A$4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'user &amp; bike type'!$B$3:$B$4</c:f>
              <c:numCache>
                <c:formatCode>_(* #,##0.0_);_(* \(#,##0.0\);_(* "-"??_);_(@_)</c:formatCode>
                <c:ptCount val="2"/>
                <c:pt idx="0">
                  <c:v>2000084</c:v>
                </c:pt>
                <c:pt idx="1">
                  <c:v>3551979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5-4CB5-B2DC-2326E302B3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Percentage of Rides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'user &amp; bike type'!$B$2</c:f>
              <c:strCache>
                <c:ptCount val="1"/>
                <c:pt idx="0">
                  <c:v>Number of rides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AA-46F5-AFE3-0ABD7B9D58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AA-46F5-AFE3-0ABD7B9D58F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 &amp; bike type'!$A$3:$A$4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'user &amp; bike type'!$B$3:$B$4</c:f>
              <c:numCache>
                <c:formatCode>_(* #,##0.0_);_(* \(#,##0.0\);_(* "-"??_);_(@_)</c:formatCode>
                <c:ptCount val="2"/>
                <c:pt idx="0">
                  <c:v>2000084</c:v>
                </c:pt>
                <c:pt idx="1">
                  <c:v>3551979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AA-46F5-AFE3-0ABD7B9D58F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ride duration '!$B$2</c:f>
              <c:strCache>
                <c:ptCount val="1"/>
                <c:pt idx="0">
                  <c:v>Average ride duration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96-499D-99EC-2943215EBF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ride duration '!$A$3:$A$4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'Average ride duration '!$B$3:$B$4</c:f>
              <c:numCache>
                <c:formatCode>##.00\ "min"</c:formatCode>
                <c:ptCount val="2"/>
                <c:pt idx="0">
                  <c:v>17.28</c:v>
                </c:pt>
                <c:pt idx="1">
                  <c:v>11.45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6-499D-99EC-2943215EBF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75018704"/>
        <c:axId val="275017744"/>
      </c:barChart>
      <c:catAx>
        <c:axId val="27501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17744"/>
        <c:crosses val="autoZero"/>
        <c:auto val="1"/>
        <c:lblAlgn val="ctr"/>
        <c:lblOffset val="100"/>
        <c:noMultiLvlLbl val="0"/>
      </c:catAx>
      <c:valAx>
        <c:axId val="2750177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#.00\ &quot;min&quot;" sourceLinked="1"/>
        <c:majorTickMark val="none"/>
        <c:minorTickMark val="none"/>
        <c:tickLblPos val="nextTo"/>
        <c:crossAx val="2750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Ride Duration Distribution by User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'Average ride duration '!$B$7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ride duration '!$A$8:$A$11</c:f>
              <c:strCache>
                <c:ptCount val="4"/>
                <c:pt idx="0">
                  <c:v>0-10 min</c:v>
                </c:pt>
                <c:pt idx="1">
                  <c:v>10-20 min</c:v>
                </c:pt>
                <c:pt idx="2">
                  <c:v>20-40 min</c:v>
                </c:pt>
                <c:pt idx="3">
                  <c:v>40+ min</c:v>
                </c:pt>
              </c:strCache>
            </c:strRef>
          </c:cat>
          <c:val>
            <c:numRef>
              <c:f>'Average ride duration '!$B$8:$B$11</c:f>
              <c:numCache>
                <c:formatCode>0.0%</c:formatCode>
                <c:ptCount val="4"/>
                <c:pt idx="0">
                  <c:v>0.44424426714615151</c:v>
                </c:pt>
                <c:pt idx="1">
                  <c:v>0.29221529244811406</c:v>
                </c:pt>
                <c:pt idx="2">
                  <c:v>0.1738093846253084</c:v>
                </c:pt>
                <c:pt idx="3">
                  <c:v>8.9731055780426047E-2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1-4F8B-8294-763AE926542D}"/>
            </c:ext>
          </c:extLst>
        </c:ser>
        <c:ser>
          <c:idx val="1"/>
          <c:order val="1"/>
          <c:tx>
            <c:strRef>
              <c:f>'Average ride duration '!$C$7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ride duration '!$A$8:$A$11</c:f>
              <c:strCache>
                <c:ptCount val="4"/>
                <c:pt idx="0">
                  <c:v>0-10 min</c:v>
                </c:pt>
                <c:pt idx="1">
                  <c:v>10-20 min</c:v>
                </c:pt>
                <c:pt idx="2">
                  <c:v>20-40 min</c:v>
                </c:pt>
                <c:pt idx="3">
                  <c:v>40+ min</c:v>
                </c:pt>
              </c:strCache>
            </c:strRef>
          </c:cat>
          <c:val>
            <c:numRef>
              <c:f>'Average ride duration '!$C$8:$C$11</c:f>
              <c:numCache>
                <c:formatCode>0.0%</c:formatCode>
                <c:ptCount val="4"/>
                <c:pt idx="0">
                  <c:v>0.57834061938334658</c:v>
                </c:pt>
                <c:pt idx="1">
                  <c:v>0.28393146064785635</c:v>
                </c:pt>
                <c:pt idx="2">
                  <c:v>0.11694822378030226</c:v>
                </c:pt>
                <c:pt idx="3">
                  <c:v>2.0779696188494783E-2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1-4F8B-8294-763AE92654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68544"/>
        <c:axId val="6676224"/>
      </c:barChart>
      <c:catAx>
        <c:axId val="666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24"/>
        <c:crosses val="autoZero"/>
        <c:auto val="1"/>
        <c:lblAlgn val="ctr"/>
        <c:lblOffset val="100"/>
        <c:noMultiLvlLbl val="0"/>
      </c:catAx>
      <c:valAx>
        <c:axId val="6676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66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Ride Distribution by Hour and User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'rides by hour of day '!$A$6</c:f>
              <c:strCache>
                <c:ptCount val="1"/>
                <c:pt idx="0">
                  <c:v>casual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'rides by hour of day '!$B$5:$Y$5</c:f>
              <c:numCache>
                <c:formatCode>00":00"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'rides by hour of day '!$B$6:$Y$6</c:f>
              <c:numCache>
                <c:formatCode>0.00%</c:formatCode>
                <c:ptCount val="24"/>
                <c:pt idx="0">
                  <c:v>1.9444683323300422E-2</c:v>
                </c:pt>
                <c:pt idx="1">
                  <c:v>1.2435977688937064E-2</c:v>
                </c:pt>
                <c:pt idx="2">
                  <c:v>8.3431495877173151E-3</c:v>
                </c:pt>
                <c:pt idx="3">
                  <c:v>4.6263056951608029E-3</c:v>
                </c:pt>
                <c:pt idx="4">
                  <c:v>3.6398471264206902E-3</c:v>
                </c:pt>
                <c:pt idx="5">
                  <c:v>5.7602580691610951E-3</c:v>
                </c:pt>
                <c:pt idx="6">
                  <c:v>1.3315440751488437E-2</c:v>
                </c:pt>
                <c:pt idx="7">
                  <c:v>2.4845456490827384E-2</c:v>
                </c:pt>
                <c:pt idx="8">
                  <c:v>3.5280018239233955E-2</c:v>
                </c:pt>
                <c:pt idx="9">
                  <c:v>3.5443011393521469E-2</c:v>
                </c:pt>
                <c:pt idx="10">
                  <c:v>4.2762703966433412E-2</c:v>
                </c:pt>
                <c:pt idx="11">
                  <c:v>5.4662204187424131E-2</c:v>
                </c:pt>
                <c:pt idx="12">
                  <c:v>6.4336797854490105E-2</c:v>
                </c:pt>
                <c:pt idx="13">
                  <c:v>6.5933230804306214E-2</c:v>
                </c:pt>
                <c:pt idx="14">
                  <c:v>6.946008267652759E-2</c:v>
                </c:pt>
                <c:pt idx="15">
                  <c:v>7.7148259773089534E-2</c:v>
                </c:pt>
                <c:pt idx="16">
                  <c:v>8.7946306255137288E-2</c:v>
                </c:pt>
                <c:pt idx="17">
                  <c:v>9.5367494565228264E-2</c:v>
                </c:pt>
                <c:pt idx="18">
                  <c:v>8.1944558328550202E-2</c:v>
                </c:pt>
                <c:pt idx="19">
                  <c:v>6.096693938854568E-2</c:v>
                </c:pt>
                <c:pt idx="20">
                  <c:v>4.3959153715543944E-2</c:v>
                </c:pt>
                <c:pt idx="21">
                  <c:v>3.758992122330862E-2</c:v>
                </c:pt>
                <c:pt idx="22">
                  <c:v>3.1765665842034635E-2</c:v>
                </c:pt>
                <c:pt idx="23">
                  <c:v>2.3022533053611748E-2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4-460A-8EA8-FA6398D2FB50}"/>
            </c:ext>
          </c:extLst>
        </c:ser>
        <c:ser>
          <c:idx val="1"/>
          <c:order val="1"/>
          <c:tx>
            <c:strRef>
              <c:f>'rides by hour of day '!$A$7</c:f>
              <c:strCache>
                <c:ptCount val="1"/>
                <c:pt idx="0">
                  <c:v>member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'rides by hour of day '!$B$5:$Y$5</c:f>
              <c:numCache>
                <c:formatCode>00":00"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'rides by hour of day '!$B$7:$Y$7</c:f>
              <c:numCache>
                <c:formatCode>0.00%</c:formatCode>
                <c:ptCount val="24"/>
                <c:pt idx="0">
                  <c:v>9.125053948798683E-3</c:v>
                </c:pt>
                <c:pt idx="1">
                  <c:v>5.6284116544607953E-3</c:v>
                </c:pt>
                <c:pt idx="2">
                  <c:v>3.4031732732654105E-3</c:v>
                </c:pt>
                <c:pt idx="3">
                  <c:v>2.2243937816073798E-3</c:v>
                </c:pt>
                <c:pt idx="4">
                  <c:v>2.4884719194567312E-3</c:v>
                </c:pt>
                <c:pt idx="5">
                  <c:v>9.6571516892414062E-3</c:v>
                </c:pt>
                <c:pt idx="6">
                  <c:v>2.8425562200677424E-2</c:v>
                </c:pt>
                <c:pt idx="7">
                  <c:v>5.6232314436543682E-2</c:v>
                </c:pt>
                <c:pt idx="8">
                  <c:v>7.2334605581846068E-2</c:v>
                </c:pt>
                <c:pt idx="9">
                  <c:v>4.6939185169732139E-2</c:v>
                </c:pt>
                <c:pt idx="10">
                  <c:v>4.0328222661226321E-2</c:v>
                </c:pt>
                <c:pt idx="11">
                  <c:v>4.7324322581862109E-2</c:v>
                </c:pt>
                <c:pt idx="12">
                  <c:v>5.3554933742569984E-2</c:v>
                </c:pt>
                <c:pt idx="13">
                  <c:v>5.2065060069330364E-2</c:v>
                </c:pt>
                <c:pt idx="14">
                  <c:v>5.2861799014014443E-2</c:v>
                </c:pt>
                <c:pt idx="15">
                  <c:v>6.6765597431741569E-2</c:v>
                </c:pt>
                <c:pt idx="16">
                  <c:v>9.4211987176725992E-2</c:v>
                </c:pt>
                <c:pt idx="17">
                  <c:v>0.10761212270680655</c:v>
                </c:pt>
                <c:pt idx="18">
                  <c:v>8.3305954230022197E-2</c:v>
                </c:pt>
                <c:pt idx="19">
                  <c:v>5.7583673777350596E-2</c:v>
                </c:pt>
                <c:pt idx="20">
                  <c:v>3.9876080348448008E-2</c:v>
                </c:pt>
                <c:pt idx="21">
                  <c:v>3.1141794475699321E-2</c:v>
                </c:pt>
                <c:pt idx="22" formatCode="General">
                  <c:v>2.27188843177282E-2</c:v>
                </c:pt>
                <c:pt idx="23">
                  <c:v>1.4191243810844602E-2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4-460A-8EA8-FA6398D2FB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80141568"/>
        <c:axId val="1580134368"/>
      </c:lineChart>
      <c:catAx>
        <c:axId val="158014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00&quot;:00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34368"/>
        <c:crosses val="autoZero"/>
        <c:auto val="1"/>
        <c:lblAlgn val="ctr"/>
        <c:lblOffset val="100"/>
        <c:noMultiLvlLbl val="0"/>
      </c:catAx>
      <c:valAx>
        <c:axId val="158013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415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Ride Duration by User Type and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'rides by hour of day '!$B$1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'!$B$2:$B$3</c:f>
              <c:numCache>
                <c:formatCode>0.00" min"</c:formatCode>
                <c:ptCount val="2"/>
                <c:pt idx="0">
                  <c:v>16.036538808954397</c:v>
                </c:pt>
                <c:pt idx="1">
                  <c:v>10.536837987942993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E-4C7E-BF2F-26DE900C9024}"/>
            </c:ext>
          </c:extLst>
        </c:ser>
        <c:ser>
          <c:idx val="1"/>
          <c:order val="1"/>
          <c:tx>
            <c:strRef>
              <c:f>'rides by hour of day '!$C$1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'!$C$2:$C$3</c:f>
              <c:numCache>
                <c:formatCode>0.00" min"</c:formatCode>
                <c:ptCount val="2"/>
                <c:pt idx="0">
                  <c:v>19.652495373034771</c:v>
                </c:pt>
                <c:pt idx="1">
                  <c:v>11.752223362855732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E-4C7E-BF2F-26DE900C9024}"/>
            </c:ext>
          </c:extLst>
        </c:ser>
        <c:ser>
          <c:idx val="2"/>
          <c:order val="2"/>
          <c:tx>
            <c:strRef>
              <c:f>'rides by hour of day '!$D$1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'!$D$2:$D$3</c:f>
              <c:numCache>
                <c:formatCode>0.00" min"</c:formatCode>
                <c:ptCount val="2"/>
                <c:pt idx="0">
                  <c:v>16.06170236522183</c:v>
                </c:pt>
                <c:pt idx="1">
                  <c:v>11.940964858071164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E-4C7E-BF2F-26DE900C9024}"/>
            </c:ext>
          </c:extLst>
        </c:ser>
        <c:ser>
          <c:idx val="3"/>
          <c:order val="3"/>
          <c:tx>
            <c:strRef>
              <c:f>'rides by hour of day '!$E$1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'!$E$2:$E$3</c:f>
              <c:numCache>
                <c:formatCode>0.00" min"</c:formatCode>
                <c:ptCount val="2"/>
                <c:pt idx="0">
                  <c:v>13.516800110641801</c:v>
                </c:pt>
                <c:pt idx="1">
                  <c:v>10.897184744739567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AE-4C7E-BF2F-26DE900C90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1468896"/>
        <c:axId val="1591466976"/>
      </c:barChart>
      <c:catAx>
        <c:axId val="15914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66976"/>
        <c:crosses val="autoZero"/>
        <c:auto val="1"/>
        <c:lblAlgn val="ctr"/>
        <c:lblOffset val="100"/>
        <c:noMultiLvlLbl val="0"/>
      </c:catAx>
      <c:valAx>
        <c:axId val="1591466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&quot; min&quot;" sourceLinked="1"/>
        <c:majorTickMark val="none"/>
        <c:minorTickMark val="none"/>
        <c:tickLblPos val="nextTo"/>
        <c:crossAx val="159146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Ride Distribution by Day of Week and User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'Number of rides by day of week '!$A$6</c:f>
              <c:strCache>
                <c:ptCount val="1"/>
                <c:pt idx="0">
                  <c:v>casual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'Number of rides by day of week '!$B$5:$H$5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'Number of rides by day of week '!$B$6:$H$6</c:f>
              <c:numCache>
                <c:formatCode>0.00%</c:formatCode>
                <c:ptCount val="7"/>
                <c:pt idx="0">
                  <c:v>0.1662230186332174</c:v>
                </c:pt>
                <c:pt idx="1">
                  <c:v>0.11440719489781428</c:v>
                </c:pt>
                <c:pt idx="2">
                  <c:v>0.11353473154127526</c:v>
                </c:pt>
                <c:pt idx="3">
                  <c:v>0.11025336935848694</c:v>
                </c:pt>
                <c:pt idx="4">
                  <c:v>0.12863709724191583</c:v>
                </c:pt>
                <c:pt idx="5">
                  <c:v>0.15997578101719728</c:v>
                </c:pt>
                <c:pt idx="6">
                  <c:v>0.20696880731009298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4-4611-A5B2-7D5014C372E0}"/>
            </c:ext>
          </c:extLst>
        </c:ser>
        <c:ser>
          <c:idx val="1"/>
          <c:order val="1"/>
          <c:tx>
            <c:strRef>
              <c:f>'Number of rides by day of week '!$A$7</c:f>
              <c:strCache>
                <c:ptCount val="1"/>
                <c:pt idx="0">
                  <c:v>member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'Number of rides by day of week '!$B$5:$H$5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'Number of rides by day of week '!$B$7:$H$7</c:f>
              <c:numCache>
                <c:formatCode>0.00%</c:formatCode>
                <c:ptCount val="7"/>
                <c:pt idx="0">
                  <c:v>0.1075828432544224</c:v>
                </c:pt>
                <c:pt idx="1">
                  <c:v>0.14199183046971842</c:v>
                </c:pt>
                <c:pt idx="2">
                  <c:v>0.16023940456855179</c:v>
                </c:pt>
                <c:pt idx="3">
                  <c:v>0.15446544025175823</c:v>
                </c:pt>
                <c:pt idx="4">
                  <c:v>0.16080641242529869</c:v>
                </c:pt>
                <c:pt idx="5">
                  <c:v>0.14849496576415569</c:v>
                </c:pt>
                <c:pt idx="6">
                  <c:v>0.12641910326609476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4-4611-A5B2-7D5014C37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3584"/>
        <c:axId val="6718464"/>
      </c:lineChart>
      <c:catAx>
        <c:axId val="670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464"/>
        <c:crosses val="autoZero"/>
        <c:auto val="1"/>
        <c:lblAlgn val="ctr"/>
        <c:lblOffset val="100"/>
        <c:noMultiLvlLbl val="0"/>
      </c:catAx>
      <c:valAx>
        <c:axId val="67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Average Ride Duration by User Type and Day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rides by day of week '!$B$1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'Number of rides by day of week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'Number of rides by day of week '!$B$2:$B$3</c:f>
              <c:numCache>
                <c:formatCode>00.00\ "min"</c:formatCode>
                <c:ptCount val="2"/>
                <c:pt idx="0">
                  <c:v>15.974431623697352</c:v>
                </c:pt>
                <c:pt idx="1">
                  <c:v>11.143059969577546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5-4592-9CEA-F6CEC11CA676}"/>
            </c:ext>
          </c:extLst>
        </c:ser>
        <c:ser>
          <c:idx val="1"/>
          <c:order val="1"/>
          <c:tx>
            <c:strRef>
              <c:f>'Number of rides by day of week '!$C$1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'Number of rides by day of week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'Number of rides by day of week '!$C$2:$C$3</c:f>
              <c:numCache>
                <c:formatCode>00.00\ "min"</c:formatCode>
                <c:ptCount val="2"/>
                <c:pt idx="0">
                  <c:v>19.490755956790242</c:v>
                </c:pt>
                <c:pt idx="1">
                  <c:v>12.482658834524486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5-4592-9CEA-F6CEC11CA6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9585952"/>
        <c:axId val="1539583072"/>
      </c:barChart>
      <c:catAx>
        <c:axId val="15395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83072"/>
        <c:crosses val="autoZero"/>
        <c:auto val="1"/>
        <c:lblAlgn val="ctr"/>
        <c:lblOffset val="100"/>
        <c:noMultiLvlLbl val="0"/>
      </c:catAx>
      <c:valAx>
        <c:axId val="15395830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0.00\ &quot;min&quot;" sourceLinked="1"/>
        <c:majorTickMark val="none"/>
        <c:minorTickMark val="none"/>
        <c:tickLblPos val="nextTo"/>
        <c:crossAx val="15395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Ride Distribution by Month and User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'rides by month '!$A$8</c:f>
              <c:strCache>
                <c:ptCount val="1"/>
                <c:pt idx="0">
                  <c:v>casual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'rides by month 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'rides by month '!$B$8:$M$8</c:f>
              <c:numCache>
                <c:formatCode>0.00%</c:formatCode>
                <c:ptCount val="12"/>
                <c:pt idx="0">
                  <c:v>1.2370480439821528E-2</c:v>
                </c:pt>
                <c:pt idx="1">
                  <c:v>1.3877917127480646E-2</c:v>
                </c:pt>
                <c:pt idx="2">
                  <c:v>4.2929196973727102E-2</c:v>
                </c:pt>
                <c:pt idx="3">
                  <c:v>5.461720607734475E-2</c:v>
                </c:pt>
                <c:pt idx="4">
                  <c:v>9.1381161991196364E-2</c:v>
                </c:pt>
                <c:pt idx="5">
                  <c:v>0.14599686813153848</c:v>
                </c:pt>
                <c:pt idx="6">
                  <c:v>0.16166920989318448</c:v>
                </c:pt>
                <c:pt idx="7">
                  <c:v>0.16893190485999587</c:v>
                </c:pt>
                <c:pt idx="8">
                  <c:v>0.13262842960595655</c:v>
                </c:pt>
                <c:pt idx="9">
                  <c:v>0.11201429539959322</c:v>
                </c:pt>
                <c:pt idx="10">
                  <c:v>4.9538919365386652E-2</c:v>
                </c:pt>
                <c:pt idx="11">
                  <c:v>1.4044410134774339E-2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B-40A9-BD42-C8F057028A28}"/>
            </c:ext>
          </c:extLst>
        </c:ser>
        <c:ser>
          <c:idx val="1"/>
          <c:order val="1"/>
          <c:tx>
            <c:strRef>
              <c:f>'rides by month '!$A$9</c:f>
              <c:strCache>
                <c:ptCount val="1"/>
                <c:pt idx="0">
                  <c:v>member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'rides by month 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'rides by month '!$B$9:$M$9</c:f>
              <c:numCache>
                <c:formatCode>0.00%</c:formatCode>
                <c:ptCount val="12"/>
                <c:pt idx="0">
                  <c:v>3.1823667876414809E-2</c:v>
                </c:pt>
                <c:pt idx="1">
                  <c:v>3.4950657084402807E-2</c:v>
                </c:pt>
                <c:pt idx="2">
                  <c:v>5.9760488448833735E-2</c:v>
                </c:pt>
                <c:pt idx="3">
                  <c:v>7.3800267400229561E-2</c:v>
                </c:pt>
                <c:pt idx="4">
                  <c:v>9.0046985075080674E-2</c:v>
                </c:pt>
                <c:pt idx="5">
                  <c:v>0.10889563254737711</c:v>
                </c:pt>
                <c:pt idx="6">
                  <c:v>0.1239044487594099</c:v>
                </c:pt>
                <c:pt idx="7">
                  <c:v>0.12737659766569565</c:v>
                </c:pt>
                <c:pt idx="8">
                  <c:v>0.12649117576427113</c:v>
                </c:pt>
                <c:pt idx="9">
                  <c:v>0.1188233376379759</c:v>
                </c:pt>
                <c:pt idx="10">
                  <c:v>7.2466926183966746E-2</c:v>
                </c:pt>
                <c:pt idx="11">
                  <c:v>3.1659815556341973E-2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B-40A9-BD42-C8F057028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312832"/>
        <c:axId val="1581308992"/>
      </c:lineChart>
      <c:catAx>
        <c:axId val="15813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308992"/>
        <c:crosses val="autoZero"/>
        <c:auto val="1"/>
        <c:lblAlgn val="ctr"/>
        <c:lblOffset val="100"/>
        <c:noMultiLvlLbl val="0"/>
      </c:catAx>
      <c:valAx>
        <c:axId val="15813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31283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Ride Duration by Season and User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'rides by month '!$A$2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'!$B$2:$C$2</c:f>
              <c:numCache>
                <c:formatCode>0.00" min"</c:formatCode>
                <c:ptCount val="2"/>
                <c:pt idx="0">
                  <c:v>17.002607685096869</c:v>
                </c:pt>
                <c:pt idx="1">
                  <c:v>10.921436005334295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A-4FA0-B138-75D00189B06F}"/>
            </c:ext>
          </c:extLst>
        </c:ser>
        <c:ser>
          <c:idx val="1"/>
          <c:order val="1"/>
          <c:tx>
            <c:strRef>
              <c:f>'rides by month '!$A$3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'!$B$3:$C$3</c:f>
              <c:numCache>
                <c:formatCode>0.00" min"</c:formatCode>
                <c:ptCount val="2"/>
                <c:pt idx="0">
                  <c:v>18.78040028730684</c:v>
                </c:pt>
                <c:pt idx="1">
                  <c:v>12.373369862132034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A-4FA0-B138-75D00189B06F}"/>
            </c:ext>
          </c:extLst>
        </c:ser>
        <c:ser>
          <c:idx val="2"/>
          <c:order val="2"/>
          <c:tx>
            <c:strRef>
              <c:f>'rides by month '!$A$4</c:f>
              <c:strCache>
                <c:ptCount val="1"/>
                <c:pt idx="0">
                  <c:v>Fall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'!$B$4:$C$4</c:f>
              <c:numCache>
                <c:formatCode>0.00" min"</c:formatCode>
                <c:ptCount val="2"/>
                <c:pt idx="0">
                  <c:v>15.966412451916934</c:v>
                </c:pt>
                <c:pt idx="1">
                  <c:v>11.370605817946442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8A-4FA0-B138-75D00189B06F}"/>
            </c:ext>
          </c:extLst>
        </c:ser>
        <c:ser>
          <c:idx val="3"/>
          <c:order val="3"/>
          <c:tx>
            <c:strRef>
              <c:f>'rides by month '!$A$5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'!$B$5:$C$5</c:f>
              <c:numCache>
                <c:formatCode>0.00" min"</c:formatCode>
                <c:ptCount val="2"/>
                <c:pt idx="0">
                  <c:v>10.556509682765629</c:v>
                </c:pt>
                <c:pt idx="1">
                  <c:v>9.588814910948825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8A-4FA0-B138-75D00189B0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1226288"/>
        <c:axId val="1481227248"/>
      </c:barChart>
      <c:catAx>
        <c:axId val="14812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27248"/>
        <c:crosses val="autoZero"/>
        <c:auto val="1"/>
        <c:lblAlgn val="ctr"/>
        <c:lblOffset val="100"/>
        <c:noMultiLvlLbl val="0"/>
      </c:catAx>
      <c:valAx>
        <c:axId val="1481227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&quot; min&quot;" sourceLinked="0"/>
        <c:majorTickMark val="none"/>
        <c:minorTickMark val="none"/>
        <c:tickLblPos val="nextTo"/>
        <c:crossAx val="148122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ride duration '!$B$2</c:f>
              <c:strCache>
                <c:ptCount val="1"/>
                <c:pt idx="0">
                  <c:v>Average ride duration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27-4CC2-8FAD-AA2ED6E5A4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ride duration '!$A$3:$A$4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'Average ride duration '!$B$3:$B$4</c:f>
              <c:numCache>
                <c:formatCode>##.00\ "min"</c:formatCode>
                <c:ptCount val="2"/>
                <c:pt idx="0">
                  <c:v>17.28</c:v>
                </c:pt>
                <c:pt idx="1">
                  <c:v>11.45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7-4CC2-8FAD-AA2ED6E5A4E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75018704"/>
        <c:axId val="275017744"/>
      </c:barChart>
      <c:catAx>
        <c:axId val="27501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17744"/>
        <c:crosses val="autoZero"/>
        <c:auto val="1"/>
        <c:lblAlgn val="ctr"/>
        <c:lblOffset val="100"/>
        <c:noMultiLvlLbl val="0"/>
      </c:catAx>
      <c:valAx>
        <c:axId val="2750177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#.00\ &quot;min&quot;" sourceLinked="1"/>
        <c:majorTickMark val="none"/>
        <c:minorTickMark val="none"/>
        <c:tickLblPos val="nextTo"/>
        <c:crossAx val="2750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Ride Duration Distribution by User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'Average ride duration '!$B$7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ride duration '!$A$8:$A$11</c:f>
              <c:strCache>
                <c:ptCount val="4"/>
                <c:pt idx="0">
                  <c:v>0-10 min</c:v>
                </c:pt>
                <c:pt idx="1">
                  <c:v>10-20 min</c:v>
                </c:pt>
                <c:pt idx="2">
                  <c:v>20-40 min</c:v>
                </c:pt>
                <c:pt idx="3">
                  <c:v>40+ min</c:v>
                </c:pt>
              </c:strCache>
            </c:strRef>
          </c:cat>
          <c:val>
            <c:numRef>
              <c:f>'Average ride duration '!$B$8:$B$11</c:f>
              <c:numCache>
                <c:formatCode>0.0%</c:formatCode>
                <c:ptCount val="4"/>
                <c:pt idx="0">
                  <c:v>0.44424426714615151</c:v>
                </c:pt>
                <c:pt idx="1">
                  <c:v>0.29221529244811406</c:v>
                </c:pt>
                <c:pt idx="2">
                  <c:v>0.1738093846253084</c:v>
                </c:pt>
                <c:pt idx="3">
                  <c:v>8.9731055780426047E-2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D-469E-9216-3B82D5AFEAF2}"/>
            </c:ext>
          </c:extLst>
        </c:ser>
        <c:ser>
          <c:idx val="1"/>
          <c:order val="1"/>
          <c:tx>
            <c:strRef>
              <c:f>'Average ride duration '!$C$7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ride duration '!$A$8:$A$11</c:f>
              <c:strCache>
                <c:ptCount val="4"/>
                <c:pt idx="0">
                  <c:v>0-10 min</c:v>
                </c:pt>
                <c:pt idx="1">
                  <c:v>10-20 min</c:v>
                </c:pt>
                <c:pt idx="2">
                  <c:v>20-40 min</c:v>
                </c:pt>
                <c:pt idx="3">
                  <c:v>40+ min</c:v>
                </c:pt>
              </c:strCache>
            </c:strRef>
          </c:cat>
          <c:val>
            <c:numRef>
              <c:f>'Average ride duration '!$C$8:$C$11</c:f>
              <c:numCache>
                <c:formatCode>0.0%</c:formatCode>
                <c:ptCount val="4"/>
                <c:pt idx="0">
                  <c:v>0.57834061938334658</c:v>
                </c:pt>
                <c:pt idx="1">
                  <c:v>0.28393146064785635</c:v>
                </c:pt>
                <c:pt idx="2">
                  <c:v>0.11694822378030226</c:v>
                </c:pt>
                <c:pt idx="3">
                  <c:v>2.0779696188494783E-2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D-469E-9216-3B82D5AFEA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68544"/>
        <c:axId val="6676224"/>
      </c:barChart>
      <c:catAx>
        <c:axId val="666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24"/>
        <c:crosses val="autoZero"/>
        <c:auto val="1"/>
        <c:lblAlgn val="ctr"/>
        <c:lblOffset val="100"/>
        <c:noMultiLvlLbl val="0"/>
      </c:catAx>
      <c:valAx>
        <c:axId val="6676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66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Ride Distribution by Hour and User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'rides by hour of day '!$A$6</c:f>
              <c:strCache>
                <c:ptCount val="1"/>
                <c:pt idx="0">
                  <c:v>casual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'rides by hour of day '!$B$5:$Y$5</c:f>
              <c:numCache>
                <c:formatCode>00":00"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'rides by hour of day '!$B$6:$Y$6</c:f>
              <c:numCache>
                <c:formatCode>0.00%</c:formatCode>
                <c:ptCount val="24"/>
                <c:pt idx="0">
                  <c:v>1.9444683323300422E-2</c:v>
                </c:pt>
                <c:pt idx="1">
                  <c:v>1.2435977688937064E-2</c:v>
                </c:pt>
                <c:pt idx="2">
                  <c:v>8.3431495877173151E-3</c:v>
                </c:pt>
                <c:pt idx="3">
                  <c:v>4.6263056951608029E-3</c:v>
                </c:pt>
                <c:pt idx="4">
                  <c:v>3.6398471264206902E-3</c:v>
                </c:pt>
                <c:pt idx="5">
                  <c:v>5.7602580691610951E-3</c:v>
                </c:pt>
                <c:pt idx="6">
                  <c:v>1.3315440751488437E-2</c:v>
                </c:pt>
                <c:pt idx="7">
                  <c:v>2.4845456490827384E-2</c:v>
                </c:pt>
                <c:pt idx="8">
                  <c:v>3.5280018239233955E-2</c:v>
                </c:pt>
                <c:pt idx="9">
                  <c:v>3.5443011393521469E-2</c:v>
                </c:pt>
                <c:pt idx="10">
                  <c:v>4.2762703966433412E-2</c:v>
                </c:pt>
                <c:pt idx="11">
                  <c:v>5.4662204187424131E-2</c:v>
                </c:pt>
                <c:pt idx="12">
                  <c:v>6.4336797854490105E-2</c:v>
                </c:pt>
                <c:pt idx="13">
                  <c:v>6.5933230804306214E-2</c:v>
                </c:pt>
                <c:pt idx="14">
                  <c:v>6.946008267652759E-2</c:v>
                </c:pt>
                <c:pt idx="15">
                  <c:v>7.7148259773089534E-2</c:v>
                </c:pt>
                <c:pt idx="16">
                  <c:v>8.7946306255137288E-2</c:v>
                </c:pt>
                <c:pt idx="17">
                  <c:v>9.5367494565228264E-2</c:v>
                </c:pt>
                <c:pt idx="18">
                  <c:v>8.1944558328550202E-2</c:v>
                </c:pt>
                <c:pt idx="19">
                  <c:v>6.096693938854568E-2</c:v>
                </c:pt>
                <c:pt idx="20">
                  <c:v>4.3959153715543944E-2</c:v>
                </c:pt>
                <c:pt idx="21">
                  <c:v>3.758992122330862E-2</c:v>
                </c:pt>
                <c:pt idx="22">
                  <c:v>3.1765665842034635E-2</c:v>
                </c:pt>
                <c:pt idx="23">
                  <c:v>2.3022533053611748E-2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6-4D2E-8A14-EEC711E99895}"/>
            </c:ext>
          </c:extLst>
        </c:ser>
        <c:ser>
          <c:idx val="1"/>
          <c:order val="1"/>
          <c:tx>
            <c:strRef>
              <c:f>'rides by hour of day '!$A$7</c:f>
              <c:strCache>
                <c:ptCount val="1"/>
                <c:pt idx="0">
                  <c:v>member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'rides by hour of day '!$B$5:$Y$5</c:f>
              <c:numCache>
                <c:formatCode>00":00"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'rides by hour of day '!$B$7:$Y$7</c:f>
              <c:numCache>
                <c:formatCode>0.00%</c:formatCode>
                <c:ptCount val="24"/>
                <c:pt idx="0">
                  <c:v>9.125053948798683E-3</c:v>
                </c:pt>
                <c:pt idx="1">
                  <c:v>5.6284116544607953E-3</c:v>
                </c:pt>
                <c:pt idx="2">
                  <c:v>3.4031732732654105E-3</c:v>
                </c:pt>
                <c:pt idx="3">
                  <c:v>2.2243937816073798E-3</c:v>
                </c:pt>
                <c:pt idx="4">
                  <c:v>2.4884719194567312E-3</c:v>
                </c:pt>
                <c:pt idx="5">
                  <c:v>9.6571516892414062E-3</c:v>
                </c:pt>
                <c:pt idx="6">
                  <c:v>2.8425562200677424E-2</c:v>
                </c:pt>
                <c:pt idx="7">
                  <c:v>5.6232314436543682E-2</c:v>
                </c:pt>
                <c:pt idx="8">
                  <c:v>7.2334605581846068E-2</c:v>
                </c:pt>
                <c:pt idx="9">
                  <c:v>4.6939185169732139E-2</c:v>
                </c:pt>
                <c:pt idx="10">
                  <c:v>4.0328222661226321E-2</c:v>
                </c:pt>
                <c:pt idx="11">
                  <c:v>4.7324322581862109E-2</c:v>
                </c:pt>
                <c:pt idx="12">
                  <c:v>5.3554933742569984E-2</c:v>
                </c:pt>
                <c:pt idx="13">
                  <c:v>5.2065060069330364E-2</c:v>
                </c:pt>
                <c:pt idx="14">
                  <c:v>5.2861799014014443E-2</c:v>
                </c:pt>
                <c:pt idx="15">
                  <c:v>6.6765597431741569E-2</c:v>
                </c:pt>
                <c:pt idx="16">
                  <c:v>9.4211987176725992E-2</c:v>
                </c:pt>
                <c:pt idx="17">
                  <c:v>0.10761212270680655</c:v>
                </c:pt>
                <c:pt idx="18">
                  <c:v>8.3305954230022197E-2</c:v>
                </c:pt>
                <c:pt idx="19">
                  <c:v>5.7583673777350596E-2</c:v>
                </c:pt>
                <c:pt idx="20">
                  <c:v>3.9876080348448008E-2</c:v>
                </c:pt>
                <c:pt idx="21">
                  <c:v>3.1141794475699321E-2</c:v>
                </c:pt>
                <c:pt idx="22" formatCode="General">
                  <c:v>2.27188843177282E-2</c:v>
                </c:pt>
                <c:pt idx="23">
                  <c:v>1.4191243810844602E-2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26-4D2E-8A14-EEC711E998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80141568"/>
        <c:axId val="1580134368"/>
      </c:lineChart>
      <c:catAx>
        <c:axId val="158014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00&quot;:00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34368"/>
        <c:crosses val="autoZero"/>
        <c:auto val="1"/>
        <c:lblAlgn val="ctr"/>
        <c:lblOffset val="100"/>
        <c:noMultiLvlLbl val="0"/>
      </c:catAx>
      <c:valAx>
        <c:axId val="158013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415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Ride Duration by User Type and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'rides by hour of day '!$B$1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'!$B$2:$B$3</c:f>
              <c:numCache>
                <c:formatCode>0.00" min"</c:formatCode>
                <c:ptCount val="2"/>
                <c:pt idx="0">
                  <c:v>16.036538808954397</c:v>
                </c:pt>
                <c:pt idx="1">
                  <c:v>10.536837987942993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1-4DB2-A67F-CF6F727B8739}"/>
            </c:ext>
          </c:extLst>
        </c:ser>
        <c:ser>
          <c:idx val="1"/>
          <c:order val="1"/>
          <c:tx>
            <c:strRef>
              <c:f>'rides by hour of day '!$C$1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'!$C$2:$C$3</c:f>
              <c:numCache>
                <c:formatCode>0.00" min"</c:formatCode>
                <c:ptCount val="2"/>
                <c:pt idx="0">
                  <c:v>19.652495373034771</c:v>
                </c:pt>
                <c:pt idx="1">
                  <c:v>11.752223362855732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1-4DB2-A67F-CF6F727B8739}"/>
            </c:ext>
          </c:extLst>
        </c:ser>
        <c:ser>
          <c:idx val="2"/>
          <c:order val="2"/>
          <c:tx>
            <c:strRef>
              <c:f>'rides by hour of day '!$D$1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'!$D$2:$D$3</c:f>
              <c:numCache>
                <c:formatCode>0.00" min"</c:formatCode>
                <c:ptCount val="2"/>
                <c:pt idx="0">
                  <c:v>16.06170236522183</c:v>
                </c:pt>
                <c:pt idx="1">
                  <c:v>11.940964858071164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91-4DB2-A67F-CF6F727B8739}"/>
            </c:ext>
          </c:extLst>
        </c:ser>
        <c:ser>
          <c:idx val="3"/>
          <c:order val="3"/>
          <c:tx>
            <c:strRef>
              <c:f>'rides by hour of day '!$E$1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hour of day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hour of day '!$E$2:$E$3</c:f>
              <c:numCache>
                <c:formatCode>0.00" min"</c:formatCode>
                <c:ptCount val="2"/>
                <c:pt idx="0">
                  <c:v>13.516800110641801</c:v>
                </c:pt>
                <c:pt idx="1">
                  <c:v>10.897184744739567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91-4DB2-A67F-CF6F727B87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1468896"/>
        <c:axId val="1591466976"/>
      </c:barChart>
      <c:catAx>
        <c:axId val="15914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66976"/>
        <c:crosses val="autoZero"/>
        <c:auto val="1"/>
        <c:lblAlgn val="ctr"/>
        <c:lblOffset val="100"/>
        <c:noMultiLvlLbl val="0"/>
      </c:catAx>
      <c:valAx>
        <c:axId val="1591466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&quot; min&quot;" sourceLinked="1"/>
        <c:majorTickMark val="none"/>
        <c:minorTickMark val="none"/>
        <c:tickLblPos val="nextTo"/>
        <c:crossAx val="159146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Ride Distribution by Day of Week and User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'Number of rides by day of week '!$A$6</c:f>
              <c:strCache>
                <c:ptCount val="1"/>
                <c:pt idx="0">
                  <c:v>casual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'Number of rides by day of week '!$B$5:$H$5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'Number of rides by day of week '!$B$6:$H$6</c:f>
              <c:numCache>
                <c:formatCode>0.00%</c:formatCode>
                <c:ptCount val="7"/>
                <c:pt idx="0">
                  <c:v>0.1662230186332174</c:v>
                </c:pt>
                <c:pt idx="1">
                  <c:v>0.11440719489781428</c:v>
                </c:pt>
                <c:pt idx="2">
                  <c:v>0.11353473154127526</c:v>
                </c:pt>
                <c:pt idx="3">
                  <c:v>0.11025336935848694</c:v>
                </c:pt>
                <c:pt idx="4">
                  <c:v>0.12863709724191583</c:v>
                </c:pt>
                <c:pt idx="5">
                  <c:v>0.15997578101719728</c:v>
                </c:pt>
                <c:pt idx="6">
                  <c:v>0.20696880731009298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8-42F3-BF75-F9BE136A2293}"/>
            </c:ext>
          </c:extLst>
        </c:ser>
        <c:ser>
          <c:idx val="1"/>
          <c:order val="1"/>
          <c:tx>
            <c:strRef>
              <c:f>'Number of rides by day of week '!$A$7</c:f>
              <c:strCache>
                <c:ptCount val="1"/>
                <c:pt idx="0">
                  <c:v>member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'Number of rides by day of week '!$B$5:$H$5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'Number of rides by day of week '!$B$7:$H$7</c:f>
              <c:numCache>
                <c:formatCode>0.00%</c:formatCode>
                <c:ptCount val="7"/>
                <c:pt idx="0">
                  <c:v>0.1075828432544224</c:v>
                </c:pt>
                <c:pt idx="1">
                  <c:v>0.14199183046971842</c:v>
                </c:pt>
                <c:pt idx="2">
                  <c:v>0.16023940456855179</c:v>
                </c:pt>
                <c:pt idx="3">
                  <c:v>0.15446544025175823</c:v>
                </c:pt>
                <c:pt idx="4">
                  <c:v>0.16080641242529869</c:v>
                </c:pt>
                <c:pt idx="5">
                  <c:v>0.14849496576415569</c:v>
                </c:pt>
                <c:pt idx="6">
                  <c:v>0.12641910326609476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8-42F3-BF75-F9BE136A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3584"/>
        <c:axId val="6718464"/>
      </c:lineChart>
      <c:catAx>
        <c:axId val="670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464"/>
        <c:crosses val="autoZero"/>
        <c:auto val="1"/>
        <c:lblAlgn val="ctr"/>
        <c:lblOffset val="100"/>
        <c:noMultiLvlLbl val="0"/>
      </c:catAx>
      <c:valAx>
        <c:axId val="67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Average Ride Duration by User Type and Day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rides by day of week '!$B$1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'Number of rides by day of week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'Number of rides by day of week '!$B$2:$B$3</c:f>
              <c:numCache>
                <c:formatCode>00.00\ "min"</c:formatCode>
                <c:ptCount val="2"/>
                <c:pt idx="0">
                  <c:v>15.974431623697352</c:v>
                </c:pt>
                <c:pt idx="1">
                  <c:v>11.143059969577546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1-4186-9CC2-70839600C696}"/>
            </c:ext>
          </c:extLst>
        </c:ser>
        <c:ser>
          <c:idx val="1"/>
          <c:order val="1"/>
          <c:tx>
            <c:strRef>
              <c:f>'Number of rides by day of week '!$C$1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'Number of rides by day of week '!$A$2:$A$3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'Number of rides by day of week '!$C$2:$C$3</c:f>
              <c:numCache>
                <c:formatCode>00.00\ "min"</c:formatCode>
                <c:ptCount val="2"/>
                <c:pt idx="0">
                  <c:v>19.490755956790242</c:v>
                </c:pt>
                <c:pt idx="1">
                  <c:v>12.482658834524486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1-4186-9CC2-70839600C6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9585952"/>
        <c:axId val="1539583072"/>
      </c:barChart>
      <c:catAx>
        <c:axId val="15395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83072"/>
        <c:crosses val="autoZero"/>
        <c:auto val="1"/>
        <c:lblAlgn val="ctr"/>
        <c:lblOffset val="100"/>
        <c:noMultiLvlLbl val="0"/>
      </c:catAx>
      <c:valAx>
        <c:axId val="15395830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0.00\ &quot;min&quot;" sourceLinked="1"/>
        <c:majorTickMark val="none"/>
        <c:minorTickMark val="none"/>
        <c:tickLblPos val="nextTo"/>
        <c:crossAx val="15395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Ride Distribution by Month and User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'rides by month '!$A$8</c:f>
              <c:strCache>
                <c:ptCount val="1"/>
                <c:pt idx="0">
                  <c:v>casual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'rides by month 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'rides by month '!$B$8:$M$8</c:f>
              <c:numCache>
                <c:formatCode>0.00%</c:formatCode>
                <c:ptCount val="12"/>
                <c:pt idx="0">
                  <c:v>1.2370480439821528E-2</c:v>
                </c:pt>
                <c:pt idx="1">
                  <c:v>1.3877917127480646E-2</c:v>
                </c:pt>
                <c:pt idx="2">
                  <c:v>4.2929196973727102E-2</c:v>
                </c:pt>
                <c:pt idx="3">
                  <c:v>5.461720607734475E-2</c:v>
                </c:pt>
                <c:pt idx="4">
                  <c:v>9.1381161991196364E-2</c:v>
                </c:pt>
                <c:pt idx="5">
                  <c:v>0.14599686813153848</c:v>
                </c:pt>
                <c:pt idx="6">
                  <c:v>0.16166920989318448</c:v>
                </c:pt>
                <c:pt idx="7">
                  <c:v>0.16893190485999587</c:v>
                </c:pt>
                <c:pt idx="8">
                  <c:v>0.13262842960595655</c:v>
                </c:pt>
                <c:pt idx="9">
                  <c:v>0.11201429539959322</c:v>
                </c:pt>
                <c:pt idx="10">
                  <c:v>4.9538919365386652E-2</c:v>
                </c:pt>
                <c:pt idx="11">
                  <c:v>1.4044410134774339E-2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9-44BB-8D9E-18E74F8145A6}"/>
            </c:ext>
          </c:extLst>
        </c:ser>
        <c:ser>
          <c:idx val="1"/>
          <c:order val="1"/>
          <c:tx>
            <c:strRef>
              <c:f>'rides by month '!$A$9</c:f>
              <c:strCache>
                <c:ptCount val="1"/>
                <c:pt idx="0">
                  <c:v>member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'rides by month 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'rides by month '!$B$9:$M$9</c:f>
              <c:numCache>
                <c:formatCode>0.00%</c:formatCode>
                <c:ptCount val="12"/>
                <c:pt idx="0">
                  <c:v>3.1823667876414809E-2</c:v>
                </c:pt>
                <c:pt idx="1">
                  <c:v>3.4950657084402807E-2</c:v>
                </c:pt>
                <c:pt idx="2">
                  <c:v>5.9760488448833735E-2</c:v>
                </c:pt>
                <c:pt idx="3">
                  <c:v>7.3800267400229561E-2</c:v>
                </c:pt>
                <c:pt idx="4">
                  <c:v>9.0046985075080674E-2</c:v>
                </c:pt>
                <c:pt idx="5">
                  <c:v>0.10889563254737711</c:v>
                </c:pt>
                <c:pt idx="6">
                  <c:v>0.1239044487594099</c:v>
                </c:pt>
                <c:pt idx="7">
                  <c:v>0.12737659766569565</c:v>
                </c:pt>
                <c:pt idx="8">
                  <c:v>0.12649117576427113</c:v>
                </c:pt>
                <c:pt idx="9">
                  <c:v>0.1188233376379759</c:v>
                </c:pt>
                <c:pt idx="10">
                  <c:v>7.2466926183966746E-2</c:v>
                </c:pt>
                <c:pt idx="11">
                  <c:v>3.1659815556341973E-2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9-44BB-8D9E-18E74F814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312832"/>
        <c:axId val="1581308992"/>
      </c:lineChart>
      <c:catAx>
        <c:axId val="15813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308992"/>
        <c:crosses val="autoZero"/>
        <c:auto val="1"/>
        <c:lblAlgn val="ctr"/>
        <c:lblOffset val="100"/>
        <c:noMultiLvlLbl val="0"/>
      </c:catAx>
      <c:valAx>
        <c:axId val="15813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31283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Ride Duration by Season and User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'rides by month '!$A$2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'!$B$2:$C$2</c:f>
              <c:numCache>
                <c:formatCode>0.00" min"</c:formatCode>
                <c:ptCount val="2"/>
                <c:pt idx="0">
                  <c:v>17.002607685096869</c:v>
                </c:pt>
                <c:pt idx="1">
                  <c:v>10.921436005334295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C-4B70-A389-E51A6D436B10}"/>
            </c:ext>
          </c:extLst>
        </c:ser>
        <c:ser>
          <c:idx val="1"/>
          <c:order val="1"/>
          <c:tx>
            <c:strRef>
              <c:f>'rides by month '!$A$3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'!$B$3:$C$3</c:f>
              <c:numCache>
                <c:formatCode>0.00" min"</c:formatCode>
                <c:ptCount val="2"/>
                <c:pt idx="0">
                  <c:v>18.78040028730684</c:v>
                </c:pt>
                <c:pt idx="1">
                  <c:v>12.373369862132034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C-4B70-A389-E51A6D436B10}"/>
            </c:ext>
          </c:extLst>
        </c:ser>
        <c:ser>
          <c:idx val="2"/>
          <c:order val="2"/>
          <c:tx>
            <c:strRef>
              <c:f>'rides by month '!$A$4</c:f>
              <c:strCache>
                <c:ptCount val="1"/>
                <c:pt idx="0">
                  <c:v>Fall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'!$B$4:$C$4</c:f>
              <c:numCache>
                <c:formatCode>0.00" min"</c:formatCode>
                <c:ptCount val="2"/>
                <c:pt idx="0">
                  <c:v>15.966412451916934</c:v>
                </c:pt>
                <c:pt idx="1">
                  <c:v>11.370605817946442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C-4B70-A389-E51A6D436B10}"/>
            </c:ext>
          </c:extLst>
        </c:ser>
        <c:ser>
          <c:idx val="3"/>
          <c:order val="3"/>
          <c:tx>
            <c:strRef>
              <c:f>'rides by month '!$A$5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'rides by month '!$B$1:$C$1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'rides by month '!$B$5:$C$5</c:f>
              <c:numCache>
                <c:formatCode>0.00" min"</c:formatCode>
                <c:ptCount val="2"/>
                <c:pt idx="0">
                  <c:v>10.556509682765629</c:v>
                </c:pt>
                <c:pt idx="1">
                  <c:v>9.588814910948825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EC-4B70-A389-E51A6D436B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1226288"/>
        <c:axId val="1481227248"/>
      </c:barChart>
      <c:catAx>
        <c:axId val="14812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27248"/>
        <c:crosses val="autoZero"/>
        <c:auto val="1"/>
        <c:lblAlgn val="ctr"/>
        <c:lblOffset val="100"/>
        <c:noMultiLvlLbl val="0"/>
      </c:catAx>
      <c:valAx>
        <c:axId val="1481227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&quot; min&quot;" sourceLinked="0"/>
        <c:majorTickMark val="none"/>
        <c:minorTickMark val="none"/>
        <c:tickLblPos val="nextTo"/>
        <c:crossAx val="148122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514120</xdr:colOff>
      <xdr:row>5</xdr:row>
      <xdr:rowOff>92726</xdr:rowOff>
    </xdr:from>
    <xdr:to>
      <xdr:col>16</xdr:col>
      <xdr:colOff>238699</xdr:colOff>
      <xdr:row>20</xdr:row>
      <xdr:rowOff>81709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F296AE-81C8-020A-AE59-E27298662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472965</xdr:colOff>
      <xdr:row>4</xdr:row>
      <xdr:rowOff>78827</xdr:rowOff>
    </xdr:from>
    <xdr:to>
      <xdr:col>12</xdr:col>
      <xdr:colOff>536027</xdr:colOff>
      <xdr:row>29</xdr:row>
      <xdr:rowOff>52551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498E6-61AF-4939-8101-200DE462D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146697</xdr:colOff>
      <xdr:row>5</xdr:row>
      <xdr:rowOff>105103</xdr:rowOff>
    </xdr:from>
    <xdr:to>
      <xdr:col>25</xdr:col>
      <xdr:colOff>209759</xdr:colOff>
      <xdr:row>30</xdr:row>
      <xdr:rowOff>78827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E89D73-EB1D-4A10-B378-A6FDF8234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78828</xdr:colOff>
      <xdr:row>30</xdr:row>
      <xdr:rowOff>123603</xdr:rowOff>
    </xdr:from>
    <xdr:to>
      <xdr:col>25</xdr:col>
      <xdr:colOff>141890</xdr:colOff>
      <xdr:row>55</xdr:row>
      <xdr:rowOff>97327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1E4313-9260-4118-AC8C-B80D9742E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236482</xdr:colOff>
      <xdr:row>5</xdr:row>
      <xdr:rowOff>105103</xdr:rowOff>
    </xdr:from>
    <xdr:to>
      <xdr:col>37</xdr:col>
      <xdr:colOff>299544</xdr:colOff>
      <xdr:row>30</xdr:row>
      <xdr:rowOff>78827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CB1806-D54C-4191-8B5D-95415B7C5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212753</xdr:colOff>
      <xdr:row>30</xdr:row>
      <xdr:rowOff>139677</xdr:rowOff>
    </xdr:from>
    <xdr:to>
      <xdr:col>37</xdr:col>
      <xdr:colOff>278167</xdr:colOff>
      <xdr:row>55</xdr:row>
      <xdr:rowOff>113401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CA28C9-181B-46B2-BB3B-313231C6F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6</xdr:row>
      <xdr:rowOff>1</xdr:rowOff>
    </xdr:from>
    <xdr:to>
      <xdr:col>50</xdr:col>
      <xdr:colOff>63062</xdr:colOff>
      <xdr:row>30</xdr:row>
      <xdr:rowOff>157656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33994D-FC65-4BD7-B54D-985ECE304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389242</xdr:colOff>
      <xdr:row>31</xdr:row>
      <xdr:rowOff>25161</xdr:rowOff>
    </xdr:from>
    <xdr:to>
      <xdr:col>49</xdr:col>
      <xdr:colOff>452304</xdr:colOff>
      <xdr:row>55</xdr:row>
      <xdr:rowOff>182816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D602ED-5A36-4E13-8E43-67F3900F2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357208</xdr:colOff>
      <xdr:row>5</xdr:row>
      <xdr:rowOff>33378</xdr:rowOff>
    </xdr:from>
    <xdr:to>
      <xdr:col>62</xdr:col>
      <xdr:colOff>420270</xdr:colOff>
      <xdr:row>30</xdr:row>
      <xdr:rowOff>7102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E7C62C8-F9C8-4514-8C81-D5F1674BD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319202</xdr:colOff>
      <xdr:row>30</xdr:row>
      <xdr:rowOff>44383</xdr:rowOff>
    </xdr:from>
    <xdr:to>
      <xdr:col>62</xdr:col>
      <xdr:colOff>382264</xdr:colOff>
      <xdr:row>55</xdr:row>
      <xdr:rowOff>18107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9CE432E-7B26-4328-B239-1158E30F1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217714</xdr:colOff>
      <xdr:row>0</xdr:row>
      <xdr:rowOff>85411</xdr:rowOff>
    </xdr:from>
    <xdr:to>
      <xdr:col>13</xdr:col>
      <xdr:colOff>240632</xdr:colOff>
      <xdr:row>15</xdr:row>
      <xdr:rowOff>120316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130CA-3059-C9BC-C20B-63F21CBC9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149844</xdr:colOff>
      <xdr:row>16</xdr:row>
      <xdr:rowOff>35464</xdr:rowOff>
    </xdr:from>
    <xdr:to>
      <xdr:col>13</xdr:col>
      <xdr:colOff>294105</xdr:colOff>
      <xdr:row>32</xdr:row>
      <xdr:rowOff>40105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D9D070-BB3A-D9BF-AD94-638A67F2B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586609</xdr:colOff>
      <xdr:row>0</xdr:row>
      <xdr:rowOff>1</xdr:rowOff>
    </xdr:from>
    <xdr:to>
      <xdr:col>38</xdr:col>
      <xdr:colOff>115019</xdr:colOff>
      <xdr:row>19</xdr:row>
      <xdr:rowOff>158150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C1B43-5DCD-882B-0ACC-F01AD9598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37858</xdr:colOff>
      <xdr:row>21</xdr:row>
      <xdr:rowOff>81415</xdr:rowOff>
    </xdr:from>
    <xdr:to>
      <xdr:col>37</xdr:col>
      <xdr:colOff>172284</xdr:colOff>
      <xdr:row>44</xdr:row>
      <xdr:rowOff>84802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3AC368-EF5A-4DB8-5E55-671632033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928274</xdr:colOff>
      <xdr:row>0</xdr:row>
      <xdr:rowOff>0</xdr:rowOff>
    </xdr:from>
    <xdr:to>
      <xdr:col>18</xdr:col>
      <xdr:colOff>113732</xdr:colOff>
      <xdr:row>16</xdr:row>
      <xdr:rowOff>136478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D87AE-CECA-EF76-DC67-F2459CE1F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949656</xdr:colOff>
      <xdr:row>16</xdr:row>
      <xdr:rowOff>158087</xdr:rowOff>
    </xdr:from>
    <xdr:to>
      <xdr:col>18</xdr:col>
      <xdr:colOff>102357</xdr:colOff>
      <xdr:row>35</xdr:row>
      <xdr:rowOff>113732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23F67A-843F-916B-5B84-8BD541A25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506184</xdr:colOff>
      <xdr:row>0</xdr:row>
      <xdr:rowOff>41910</xdr:rowOff>
    </xdr:from>
    <xdr:to>
      <xdr:col>26</xdr:col>
      <xdr:colOff>285749</xdr:colOff>
      <xdr:row>16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D1125-AABB-1200-6677-1CE45F6F4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547006</xdr:colOff>
      <xdr:row>17</xdr:row>
      <xdr:rowOff>1088</xdr:rowOff>
    </xdr:from>
    <xdr:to>
      <xdr:col>26</xdr:col>
      <xdr:colOff>272142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5CE9ED-C860-4496-9D63-C0135504C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5B53-7FBB-4FAB-A912-6E2FF9DAB7CD}">
  <dimension ref="A1:J222"/>
  <sheetViews>
    <sheetView zoomScale="65" workbookViewId="0">
      <selection activeCell="A34" sqref="A34"/>
    </sheetView>
  </sheetViews>
  <sheetFormatPr defaultRowHeight="14.4" x14ac:dyDescent="0.3"/>
  <cols>
    <col min="1" max="1" width="83" bestFit="1" customWidth="1"/>
    <col min="2" max="2" width="32.21875" customWidth="1"/>
    <col min="3" max="3" width="27.6640625" customWidth="1"/>
    <col min="4" max="4" width="15.5546875" customWidth="1"/>
    <col min="5" max="5" width="44.33203125" customWidth="1"/>
    <col min="6" max="6" width="37.21875" customWidth="1"/>
    <col min="7" max="7" width="47" bestFit="1" customWidth="1"/>
    <col min="8" max="8" width="25.6640625" bestFit="1" customWidth="1"/>
    <col min="9" max="9" width="27.6640625" bestFit="1" customWidth="1"/>
    <col min="10" max="10" width="14.109375" bestFit="1" customWidth="1"/>
  </cols>
  <sheetData>
    <row r="1" spans="1:5" x14ac:dyDescent="0.3">
      <c r="A1" s="1" t="s">
        <v>0</v>
      </c>
    </row>
    <row r="2" spans="1:5" x14ac:dyDescent="0.3">
      <c r="A2" s="43" t="s">
        <v>46</v>
      </c>
      <c r="B2" s="43" t="s">
        <v>38</v>
      </c>
      <c r="C2" s="43" t="s">
        <v>42</v>
      </c>
    </row>
    <row r="3" spans="1:5" x14ac:dyDescent="0.3">
      <c r="A3" t="s">
        <v>3</v>
      </c>
      <c r="B3">
        <v>2000084</v>
      </c>
      <c r="C3" s="23">
        <f>B3/SUM($B$3:$B$4)</f>
        <v>0.36024158947764101</v>
      </c>
    </row>
    <row r="4" spans="1:5" x14ac:dyDescent="0.3">
      <c r="A4" t="s">
        <v>4</v>
      </c>
      <c r="B4">
        <v>3551979</v>
      </c>
      <c r="C4" s="23">
        <f>B4/SUM($B$3:$B$4)</f>
        <v>0.63975841052235893</v>
      </c>
    </row>
    <row r="6" spans="1:5" x14ac:dyDescent="0.3">
      <c r="A6" s="1" t="s">
        <v>31</v>
      </c>
    </row>
    <row r="7" spans="1:5" x14ac:dyDescent="0.3">
      <c r="A7" s="43" t="s">
        <v>47</v>
      </c>
      <c r="B7" s="43" t="s">
        <v>38</v>
      </c>
      <c r="C7" s="43" t="s">
        <v>42</v>
      </c>
      <c r="D7" s="43" t="s">
        <v>48</v>
      </c>
    </row>
    <row r="8" spans="1:5" x14ac:dyDescent="0.3">
      <c r="A8" t="s">
        <v>1</v>
      </c>
      <c r="B8">
        <v>1942384</v>
      </c>
      <c r="C8" s="4">
        <f>B8/SUM($B$8:$B$9)</f>
        <v>0.34984905610761263</v>
      </c>
      <c r="D8" s="8">
        <v>5552063</v>
      </c>
    </row>
    <row r="9" spans="1:5" x14ac:dyDescent="0.3">
      <c r="A9" t="s">
        <v>2</v>
      </c>
      <c r="B9">
        <v>3609679</v>
      </c>
      <c r="C9" s="4">
        <f>B9/SUM($B$8:$B$9)</f>
        <v>0.65015094389238737</v>
      </c>
    </row>
    <row r="11" spans="1:5" x14ac:dyDescent="0.3">
      <c r="A11" s="1" t="s">
        <v>9</v>
      </c>
    </row>
    <row r="12" spans="1:5" x14ac:dyDescent="0.3">
      <c r="A12" s="43" t="s">
        <v>46</v>
      </c>
      <c r="B12" s="43" t="s">
        <v>47</v>
      </c>
      <c r="C12" s="43" t="s">
        <v>38</v>
      </c>
      <c r="D12" s="43" t="s">
        <v>42</v>
      </c>
      <c r="E12" s="43" t="s">
        <v>48</v>
      </c>
    </row>
    <row r="13" spans="1:5" x14ac:dyDescent="0.3">
      <c r="A13" t="s">
        <v>3</v>
      </c>
      <c r="B13" t="s">
        <v>2</v>
      </c>
      <c r="C13">
        <v>1328141</v>
      </c>
      <c r="D13" s="11">
        <f>C13/SUM($C$13:$C$14)</f>
        <v>0.66404261021037114</v>
      </c>
      <c r="E13" s="8">
        <v>5552063</v>
      </c>
    </row>
    <row r="14" spans="1:5" x14ac:dyDescent="0.3">
      <c r="A14" t="s">
        <v>3</v>
      </c>
      <c r="B14" t="s">
        <v>1</v>
      </c>
      <c r="C14">
        <v>671943</v>
      </c>
      <c r="D14" s="11">
        <f>C14/SUM($C$13:$C$14)</f>
        <v>0.33595738978962886</v>
      </c>
    </row>
    <row r="15" spans="1:5" x14ac:dyDescent="0.3">
      <c r="A15" t="s">
        <v>4</v>
      </c>
      <c r="B15" t="s">
        <v>2</v>
      </c>
      <c r="C15">
        <v>2281538</v>
      </c>
      <c r="D15" s="11">
        <f>C15/SUM($C$15:$C$16)</f>
        <v>0.64232868493873418</v>
      </c>
    </row>
    <row r="16" spans="1:5" x14ac:dyDescent="0.3">
      <c r="A16" t="s">
        <v>4</v>
      </c>
      <c r="B16" t="s">
        <v>1</v>
      </c>
      <c r="C16">
        <v>1270441</v>
      </c>
      <c r="D16" s="11">
        <f>C16/SUM($C$15:$C$16)</f>
        <v>0.35767131506126587</v>
      </c>
    </row>
    <row r="18" spans="1:4" x14ac:dyDescent="0.3">
      <c r="A18" s="1" t="s">
        <v>30</v>
      </c>
    </row>
    <row r="19" spans="1:4" x14ac:dyDescent="0.3">
      <c r="A19" s="43" t="s">
        <v>46</v>
      </c>
      <c r="B19" s="43" t="s">
        <v>49</v>
      </c>
      <c r="C19" s="44" t="s">
        <v>32</v>
      </c>
    </row>
    <row r="20" spans="1:4" x14ac:dyDescent="0.3">
      <c r="A20" t="s">
        <v>3</v>
      </c>
      <c r="B20" s="45">
        <v>17.28</v>
      </c>
      <c r="C20" s="7">
        <v>3.9433990572513298E-3</v>
      </c>
    </row>
    <row r="21" spans="1:4" x14ac:dyDescent="0.3">
      <c r="A21" t="s">
        <v>4</v>
      </c>
      <c r="B21" s="45">
        <v>11.45</v>
      </c>
    </row>
    <row r="23" spans="1:4" x14ac:dyDescent="0.3">
      <c r="A23" s="1" t="s">
        <v>28</v>
      </c>
    </row>
    <row r="24" spans="1:4" x14ac:dyDescent="0.3">
      <c r="A24" s="43" t="s">
        <v>46</v>
      </c>
      <c r="B24" s="43" t="s">
        <v>50</v>
      </c>
      <c r="C24" s="43" t="s">
        <v>38</v>
      </c>
      <c r="D24" s="43" t="s">
        <v>42</v>
      </c>
    </row>
    <row r="25" spans="1:4" x14ac:dyDescent="0.3">
      <c r="A25" t="s">
        <v>3</v>
      </c>
      <c r="B25" t="s">
        <v>17</v>
      </c>
      <c r="C25">
        <v>881537</v>
      </c>
      <c r="D25" s="7">
        <f>C25/SUM($C$25:$C$28)</f>
        <v>0.44424426714615151</v>
      </c>
    </row>
    <row r="26" spans="1:4" x14ac:dyDescent="0.3">
      <c r="A26" t="s">
        <v>3</v>
      </c>
      <c r="B26" s="12" t="s">
        <v>20</v>
      </c>
      <c r="C26">
        <v>579858</v>
      </c>
      <c r="D26" s="7">
        <f>C26/SUM($C$25:$C$28)</f>
        <v>0.29221529244811406</v>
      </c>
    </row>
    <row r="27" spans="1:4" x14ac:dyDescent="0.3">
      <c r="A27" t="s">
        <v>3</v>
      </c>
      <c r="B27" t="s">
        <v>18</v>
      </c>
      <c r="C27">
        <v>344899</v>
      </c>
      <c r="D27" s="7">
        <f>C27/SUM($C$25:$C$28)</f>
        <v>0.1738093846253084</v>
      </c>
    </row>
    <row r="28" spans="1:4" x14ac:dyDescent="0.3">
      <c r="A28" s="5" t="s">
        <v>3</v>
      </c>
      <c r="B28" s="5" t="s">
        <v>19</v>
      </c>
      <c r="C28" s="5">
        <v>178058</v>
      </c>
      <c r="D28" s="13">
        <f>C28/SUM($C$25:$C$28)</f>
        <v>8.9731055780426047E-2</v>
      </c>
    </row>
    <row r="29" spans="1:4" x14ac:dyDescent="0.3">
      <c r="A29" t="s">
        <v>4</v>
      </c>
      <c r="B29" t="s">
        <v>17</v>
      </c>
      <c r="C29">
        <v>2050690</v>
      </c>
      <c r="D29" s="7">
        <f>C29/SUM($C$29:$C$32)</f>
        <v>0.57834061938334658</v>
      </c>
    </row>
    <row r="30" spans="1:4" x14ac:dyDescent="0.3">
      <c r="A30" t="s">
        <v>4</v>
      </c>
      <c r="B30" s="12" t="s">
        <v>20</v>
      </c>
      <c r="C30">
        <v>1006769</v>
      </c>
      <c r="D30" s="7">
        <f>C30/SUM($C$29:$C$32)</f>
        <v>0.28393146064785635</v>
      </c>
    </row>
    <row r="31" spans="1:4" x14ac:dyDescent="0.3">
      <c r="A31" t="s">
        <v>4</v>
      </c>
      <c r="B31" t="s">
        <v>18</v>
      </c>
      <c r="C31">
        <v>414677</v>
      </c>
      <c r="D31" s="7">
        <f>C31/SUM($C$29:$C$32)</f>
        <v>0.11694822378030226</v>
      </c>
    </row>
    <row r="32" spans="1:4" x14ac:dyDescent="0.3">
      <c r="A32" t="s">
        <v>4</v>
      </c>
      <c r="B32" t="s">
        <v>19</v>
      </c>
      <c r="C32">
        <v>73681</v>
      </c>
      <c r="D32" s="7">
        <f>C32/SUM($C$29:$C$32)</f>
        <v>2.0779696188494783E-2</v>
      </c>
    </row>
    <row r="34" spans="1:10" x14ac:dyDescent="0.3">
      <c r="A34" s="1" t="s">
        <v>6</v>
      </c>
      <c r="G34" s="31" t="s">
        <v>53</v>
      </c>
    </row>
    <row r="35" spans="1:10" x14ac:dyDescent="0.3">
      <c r="A35" s="43" t="s">
        <v>46</v>
      </c>
      <c r="B35" s="43" t="s">
        <v>51</v>
      </c>
      <c r="C35" s="43" t="s">
        <v>38</v>
      </c>
      <c r="D35" s="43" t="s">
        <v>42</v>
      </c>
      <c r="G35" s="43" t="s">
        <v>46</v>
      </c>
      <c r="H35" s="43" t="s">
        <v>54</v>
      </c>
      <c r="I35" s="43" t="s">
        <v>38</v>
      </c>
      <c r="J35" s="43" t="s">
        <v>42</v>
      </c>
    </row>
    <row r="36" spans="1:10" x14ac:dyDescent="0.3">
      <c r="A36" t="s">
        <v>3</v>
      </c>
      <c r="B36" s="21">
        <v>0</v>
      </c>
      <c r="C36">
        <v>38891</v>
      </c>
      <c r="D36" s="4">
        <v>1.9444683323300422E-2</v>
      </c>
      <c r="G36" t="s">
        <v>3</v>
      </c>
      <c r="H36" t="s">
        <v>24</v>
      </c>
      <c r="I36">
        <f>SUM('Tables &amp; Calculations'!C42:C46)</f>
        <v>303306</v>
      </c>
      <c r="J36" s="14">
        <f>I36/SUM('Tables &amp; Calculations'!$C$36:$C$59)</f>
        <v>0.15164663084150465</v>
      </c>
    </row>
    <row r="37" spans="1:10" x14ac:dyDescent="0.3">
      <c r="A37" t="s">
        <v>3</v>
      </c>
      <c r="B37" s="21">
        <v>1</v>
      </c>
      <c r="C37">
        <v>24873</v>
      </c>
      <c r="D37" s="4">
        <v>1.2435977688937064E-2</v>
      </c>
      <c r="G37" t="s">
        <v>3</v>
      </c>
      <c r="H37" t="s">
        <v>25</v>
      </c>
      <c r="I37">
        <f>SUM('Tables &amp; Calculations'!C47:C52)</f>
        <v>839009</v>
      </c>
      <c r="J37" s="14">
        <f>I37/SUM('Tables &amp; Calculations'!$C$36:$C$59)</f>
        <v>0.41948688155097485</v>
      </c>
    </row>
    <row r="38" spans="1:10" x14ac:dyDescent="0.3">
      <c r="A38" t="s">
        <v>3</v>
      </c>
      <c r="B38" s="21">
        <v>2</v>
      </c>
      <c r="C38">
        <v>16687</v>
      </c>
      <c r="D38" s="4">
        <v>8.3431495877173151E-3</v>
      </c>
      <c r="G38" t="s">
        <v>3</v>
      </c>
      <c r="H38" t="s">
        <v>26</v>
      </c>
      <c r="I38">
        <f>SUM('Tables &amp; Calculations'!C53:C57)</f>
        <v>639683</v>
      </c>
      <c r="J38" s="14">
        <f>I38/SUM('Tables &amp; Calculations'!$C$36:$C$59)</f>
        <v>0.31982806722117674</v>
      </c>
    </row>
    <row r="39" spans="1:10" x14ac:dyDescent="0.3">
      <c r="A39" t="s">
        <v>3</v>
      </c>
      <c r="B39" s="21">
        <v>3</v>
      </c>
      <c r="C39">
        <v>9253</v>
      </c>
      <c r="D39" s="4">
        <v>4.6263056951608029E-3</v>
      </c>
      <c r="G39" s="5" t="s">
        <v>3</v>
      </c>
      <c r="H39" s="5" t="s">
        <v>27</v>
      </c>
      <c r="I39" s="5">
        <f>SUM('Tables &amp; Calculations'!C58:C59,'Tables &amp; Calculations'!C36:C41)</f>
        <v>218086</v>
      </c>
      <c r="J39" s="15">
        <f>I39/SUM('Tables &amp; Calculations'!$C$36:$C$59)</f>
        <v>0.10903842038634377</v>
      </c>
    </row>
    <row r="40" spans="1:10" x14ac:dyDescent="0.3">
      <c r="A40" t="s">
        <v>3</v>
      </c>
      <c r="B40" s="21">
        <v>4</v>
      </c>
      <c r="C40">
        <v>7280</v>
      </c>
      <c r="D40" s="4">
        <v>3.6398471264206902E-3</v>
      </c>
      <c r="G40" t="s">
        <v>4</v>
      </c>
      <c r="H40" t="s">
        <v>24</v>
      </c>
      <c r="I40">
        <f>SUM('Tables &amp; Calculations'!C66:C70)</f>
        <v>867606</v>
      </c>
      <c r="J40" s="14">
        <f>I40/SUM('Tables &amp; Calculations'!$C$60:$C$83)</f>
        <v>0.24425989005002563</v>
      </c>
    </row>
    <row r="41" spans="1:10" x14ac:dyDescent="0.3">
      <c r="A41" t="s">
        <v>3</v>
      </c>
      <c r="B41" s="21">
        <v>5</v>
      </c>
      <c r="C41">
        <v>11521</v>
      </c>
      <c r="D41" s="4">
        <v>5.7602580691610951E-3</v>
      </c>
      <c r="G41" t="s">
        <v>4</v>
      </c>
      <c r="H41" t="s">
        <v>25</v>
      </c>
      <c r="I41">
        <f>SUM('Tables &amp; Calculations'!C71:C76)</f>
        <v>1302808</v>
      </c>
      <c r="J41" s="14">
        <f>I41/SUM('Tables &amp; Calculations'!$C$60:$C$83)</f>
        <v>0.36678370001624444</v>
      </c>
    </row>
    <row r="42" spans="1:10" x14ac:dyDescent="0.3">
      <c r="A42" t="s">
        <v>3</v>
      </c>
      <c r="B42" s="18">
        <v>6</v>
      </c>
      <c r="C42">
        <v>26632</v>
      </c>
      <c r="D42" s="4">
        <v>1.3315440751488437E-2</v>
      </c>
      <c r="G42" t="s">
        <v>4</v>
      </c>
      <c r="H42" t="s">
        <v>26</v>
      </c>
      <c r="I42">
        <f>SUM('Tables &amp; Calculations'!C77:C81)</f>
        <v>1134927</v>
      </c>
      <c r="J42" s="14">
        <f>I42/SUM('Tables &amp; Calculations'!$C$60:$C$83)</f>
        <v>0.31951962553832663</v>
      </c>
    </row>
    <row r="43" spans="1:10" x14ac:dyDescent="0.3">
      <c r="A43" t="s">
        <v>3</v>
      </c>
      <c r="B43" s="18">
        <v>7</v>
      </c>
      <c r="C43">
        <v>49693</v>
      </c>
      <c r="D43" s="4">
        <v>2.4845456490827384E-2</v>
      </c>
      <c r="G43" t="s">
        <v>4</v>
      </c>
      <c r="H43" t="s">
        <v>27</v>
      </c>
      <c r="I43">
        <f>SUM('Tables &amp; Calculations'!C82:C83,'Tables &amp; Calculations'!C60:C65)</f>
        <v>246638</v>
      </c>
      <c r="J43" s="14">
        <f>I43/SUM('Tables &amp; Calculations'!$C$60:$C$83)</f>
        <v>6.9436784395403239E-2</v>
      </c>
    </row>
    <row r="44" spans="1:10" x14ac:dyDescent="0.3">
      <c r="A44" t="s">
        <v>3</v>
      </c>
      <c r="B44" s="18">
        <v>8</v>
      </c>
      <c r="C44">
        <v>70563</v>
      </c>
      <c r="D44" s="4">
        <v>3.5280018239233955E-2</v>
      </c>
    </row>
    <row r="45" spans="1:10" x14ac:dyDescent="0.3">
      <c r="A45" t="s">
        <v>3</v>
      </c>
      <c r="B45" s="18">
        <v>9</v>
      </c>
      <c r="C45">
        <v>70889</v>
      </c>
      <c r="D45" s="4">
        <v>3.5443011393521469E-2</v>
      </c>
    </row>
    <row r="46" spans="1:10" x14ac:dyDescent="0.3">
      <c r="A46" t="s">
        <v>3</v>
      </c>
      <c r="B46" s="18">
        <v>10</v>
      </c>
      <c r="C46">
        <v>85529</v>
      </c>
      <c r="D46" s="4">
        <v>4.2762703966433412E-2</v>
      </c>
    </row>
    <row r="47" spans="1:10" x14ac:dyDescent="0.3">
      <c r="A47" t="s">
        <v>3</v>
      </c>
      <c r="B47" s="19">
        <v>11</v>
      </c>
      <c r="C47">
        <v>109329</v>
      </c>
      <c r="D47" s="4">
        <v>5.4662204187424131E-2</v>
      </c>
    </row>
    <row r="48" spans="1:10" x14ac:dyDescent="0.3">
      <c r="A48" t="s">
        <v>3</v>
      </c>
      <c r="B48" s="19">
        <v>12</v>
      </c>
      <c r="C48">
        <v>128679</v>
      </c>
      <c r="D48" s="4">
        <v>6.4336797854490105E-2</v>
      </c>
    </row>
    <row r="49" spans="1:4" x14ac:dyDescent="0.3">
      <c r="A49" t="s">
        <v>3</v>
      </c>
      <c r="B49" s="19">
        <v>13</v>
      </c>
      <c r="C49">
        <v>131872</v>
      </c>
      <c r="D49" s="4">
        <v>6.5933230804306214E-2</v>
      </c>
    </row>
    <row r="50" spans="1:4" x14ac:dyDescent="0.3">
      <c r="A50" t="s">
        <v>3</v>
      </c>
      <c r="B50" s="19">
        <v>14</v>
      </c>
      <c r="C50">
        <v>138926</v>
      </c>
      <c r="D50" s="4">
        <v>6.946008267652759E-2</v>
      </c>
    </row>
    <row r="51" spans="1:4" x14ac:dyDescent="0.3">
      <c r="A51" t="s">
        <v>3</v>
      </c>
      <c r="B51" s="19">
        <v>15</v>
      </c>
      <c r="C51">
        <v>154303</v>
      </c>
      <c r="D51" s="4">
        <v>7.7148259773089534E-2</v>
      </c>
    </row>
    <row r="52" spans="1:4" x14ac:dyDescent="0.3">
      <c r="A52" t="s">
        <v>3</v>
      </c>
      <c r="B52" s="19">
        <v>16</v>
      </c>
      <c r="C52">
        <v>175900</v>
      </c>
      <c r="D52" s="4">
        <v>8.7946306255137288E-2</v>
      </c>
    </row>
    <row r="53" spans="1:4" x14ac:dyDescent="0.3">
      <c r="A53" t="s">
        <v>3</v>
      </c>
      <c r="B53" s="20">
        <v>17</v>
      </c>
      <c r="C53">
        <v>190743</v>
      </c>
      <c r="D53" s="4">
        <v>9.5367494565228264E-2</v>
      </c>
    </row>
    <row r="54" spans="1:4" x14ac:dyDescent="0.3">
      <c r="A54" t="s">
        <v>3</v>
      </c>
      <c r="B54" s="20">
        <v>18</v>
      </c>
      <c r="C54">
        <v>163896</v>
      </c>
      <c r="D54" s="4">
        <v>8.1944558328550202E-2</v>
      </c>
    </row>
    <row r="55" spans="1:4" x14ac:dyDescent="0.3">
      <c r="A55" t="s">
        <v>3</v>
      </c>
      <c r="B55" s="20">
        <v>19</v>
      </c>
      <c r="C55">
        <v>121939</v>
      </c>
      <c r="D55" s="4">
        <v>6.096693938854568E-2</v>
      </c>
    </row>
    <row r="56" spans="1:4" x14ac:dyDescent="0.3">
      <c r="A56" t="s">
        <v>3</v>
      </c>
      <c r="B56" s="20">
        <v>20</v>
      </c>
      <c r="C56">
        <v>87922</v>
      </c>
      <c r="D56" s="4">
        <v>4.3959153715543944E-2</v>
      </c>
    </row>
    <row r="57" spans="1:4" x14ac:dyDescent="0.3">
      <c r="A57" t="s">
        <v>3</v>
      </c>
      <c r="B57" s="20">
        <v>21</v>
      </c>
      <c r="C57">
        <v>75183</v>
      </c>
      <c r="D57" s="4">
        <v>3.758992122330862E-2</v>
      </c>
    </row>
    <row r="58" spans="1:4" x14ac:dyDescent="0.3">
      <c r="A58" t="s">
        <v>3</v>
      </c>
      <c r="B58" s="21">
        <v>22</v>
      </c>
      <c r="C58">
        <v>63534</v>
      </c>
      <c r="D58" s="4">
        <v>3.1765665842034635E-2</v>
      </c>
    </row>
    <row r="59" spans="1:4" x14ac:dyDescent="0.3">
      <c r="A59" s="5" t="s">
        <v>3</v>
      </c>
      <c r="B59" s="22">
        <v>23</v>
      </c>
      <c r="C59" s="5">
        <v>46047</v>
      </c>
      <c r="D59" s="6">
        <v>2.3022533053611748E-2</v>
      </c>
    </row>
    <row r="60" spans="1:4" x14ac:dyDescent="0.3">
      <c r="A60" t="s">
        <v>4</v>
      </c>
      <c r="B60" s="21">
        <v>0</v>
      </c>
      <c r="C60">
        <v>32412</v>
      </c>
      <c r="D60" s="4">
        <v>9.125053948798683E-3</v>
      </c>
    </row>
    <row r="61" spans="1:4" x14ac:dyDescent="0.3">
      <c r="A61" t="s">
        <v>4</v>
      </c>
      <c r="B61" s="21">
        <v>1</v>
      </c>
      <c r="C61">
        <v>19992</v>
      </c>
      <c r="D61" s="4">
        <v>5.6284116544607953E-3</v>
      </c>
    </row>
    <row r="62" spans="1:4" x14ac:dyDescent="0.3">
      <c r="A62" t="s">
        <v>4</v>
      </c>
      <c r="B62" s="21">
        <v>2</v>
      </c>
      <c r="C62">
        <v>12088</v>
      </c>
      <c r="D62" s="4">
        <v>3.4031732732654105E-3</v>
      </c>
    </row>
    <row r="63" spans="1:4" x14ac:dyDescent="0.3">
      <c r="A63" t="s">
        <v>4</v>
      </c>
      <c r="B63" s="21">
        <v>3</v>
      </c>
      <c r="C63">
        <v>7901</v>
      </c>
      <c r="D63" s="4">
        <v>2.2243937816073798E-3</v>
      </c>
    </row>
    <row r="64" spans="1:4" x14ac:dyDescent="0.3">
      <c r="A64" t="s">
        <v>4</v>
      </c>
      <c r="B64" s="21">
        <v>4</v>
      </c>
      <c r="C64">
        <v>8839</v>
      </c>
      <c r="D64" s="4">
        <v>2.4884719194567312E-3</v>
      </c>
    </row>
    <row r="65" spans="1:4" x14ac:dyDescent="0.3">
      <c r="A65" t="s">
        <v>4</v>
      </c>
      <c r="B65" s="21">
        <v>5</v>
      </c>
      <c r="C65">
        <v>34302</v>
      </c>
      <c r="D65" s="4">
        <v>9.6571516892414062E-3</v>
      </c>
    </row>
    <row r="66" spans="1:4" x14ac:dyDescent="0.3">
      <c r="A66" t="s">
        <v>4</v>
      </c>
      <c r="B66" s="18">
        <v>6</v>
      </c>
      <c r="C66">
        <v>100967</v>
      </c>
      <c r="D66" s="4">
        <v>2.8425562200677424E-2</v>
      </c>
    </row>
    <row r="67" spans="1:4" x14ac:dyDescent="0.3">
      <c r="A67" t="s">
        <v>4</v>
      </c>
      <c r="B67" s="18">
        <v>7</v>
      </c>
      <c r="C67">
        <v>199736</v>
      </c>
      <c r="D67" s="4">
        <v>5.6232314436543682E-2</v>
      </c>
    </row>
    <row r="68" spans="1:4" x14ac:dyDescent="0.3">
      <c r="A68" t="s">
        <v>4</v>
      </c>
      <c r="B68" s="18">
        <v>8</v>
      </c>
      <c r="C68">
        <v>256931</v>
      </c>
      <c r="D68" s="4">
        <v>7.2334605581846068E-2</v>
      </c>
    </row>
    <row r="69" spans="1:4" x14ac:dyDescent="0.3">
      <c r="A69" t="s">
        <v>4</v>
      </c>
      <c r="B69" s="18">
        <v>9</v>
      </c>
      <c r="C69">
        <v>166727</v>
      </c>
      <c r="D69" s="4">
        <v>4.6939185169732139E-2</v>
      </c>
    </row>
    <row r="70" spans="1:4" x14ac:dyDescent="0.3">
      <c r="A70" t="s">
        <v>4</v>
      </c>
      <c r="B70" s="18">
        <v>10</v>
      </c>
      <c r="C70">
        <v>143245</v>
      </c>
      <c r="D70" s="4">
        <v>4.0328222661226321E-2</v>
      </c>
    </row>
    <row r="71" spans="1:4" x14ac:dyDescent="0.3">
      <c r="A71" t="s">
        <v>4</v>
      </c>
      <c r="B71" s="19">
        <v>11</v>
      </c>
      <c r="C71">
        <v>168095</v>
      </c>
      <c r="D71" s="4">
        <v>4.7324322581862109E-2</v>
      </c>
    </row>
    <row r="72" spans="1:4" x14ac:dyDescent="0.3">
      <c r="A72" t="s">
        <v>4</v>
      </c>
      <c r="B72" s="19">
        <v>12</v>
      </c>
      <c r="C72">
        <v>190226</v>
      </c>
      <c r="D72" s="4">
        <v>5.3554933742569984E-2</v>
      </c>
    </row>
    <row r="73" spans="1:4" x14ac:dyDescent="0.3">
      <c r="A73" t="s">
        <v>4</v>
      </c>
      <c r="B73" s="19">
        <v>13</v>
      </c>
      <c r="C73">
        <v>184934</v>
      </c>
      <c r="D73" s="4">
        <v>5.2065060069330364E-2</v>
      </c>
    </row>
    <row r="74" spans="1:4" x14ac:dyDescent="0.3">
      <c r="A74" t="s">
        <v>4</v>
      </c>
      <c r="B74" s="19">
        <v>14</v>
      </c>
      <c r="C74">
        <v>187764</v>
      </c>
      <c r="D74" s="4">
        <v>5.2861799014014443E-2</v>
      </c>
    </row>
    <row r="75" spans="1:4" x14ac:dyDescent="0.3">
      <c r="A75" t="s">
        <v>4</v>
      </c>
      <c r="B75" s="19">
        <v>15</v>
      </c>
      <c r="C75">
        <v>237150</v>
      </c>
      <c r="D75" s="4">
        <v>6.6765597431741569E-2</v>
      </c>
    </row>
    <row r="76" spans="1:4" x14ac:dyDescent="0.3">
      <c r="A76" t="s">
        <v>4</v>
      </c>
      <c r="B76" s="19">
        <v>16</v>
      </c>
      <c r="C76">
        <v>334639</v>
      </c>
      <c r="D76" s="4">
        <v>9.4211987176725992E-2</v>
      </c>
    </row>
    <row r="77" spans="1:4" x14ac:dyDescent="0.3">
      <c r="A77" t="s">
        <v>4</v>
      </c>
      <c r="B77" s="20">
        <v>17</v>
      </c>
      <c r="C77">
        <v>382236</v>
      </c>
      <c r="D77" s="4">
        <v>0.10761212270680655</v>
      </c>
    </row>
    <row r="78" spans="1:4" x14ac:dyDescent="0.3">
      <c r="A78" t="s">
        <v>4</v>
      </c>
      <c r="B78" s="20">
        <v>18</v>
      </c>
      <c r="C78">
        <v>295901</v>
      </c>
      <c r="D78" s="4">
        <v>8.3305954230022197E-2</v>
      </c>
    </row>
    <row r="79" spans="1:4" x14ac:dyDescent="0.3">
      <c r="A79" t="s">
        <v>4</v>
      </c>
      <c r="B79" s="20">
        <v>19</v>
      </c>
      <c r="C79">
        <v>204536</v>
      </c>
      <c r="D79" s="4">
        <v>5.7583673777350596E-2</v>
      </c>
    </row>
    <row r="80" spans="1:4" x14ac:dyDescent="0.3">
      <c r="A80" t="s">
        <v>4</v>
      </c>
      <c r="B80" s="20">
        <v>20</v>
      </c>
      <c r="C80">
        <v>141639</v>
      </c>
      <c r="D80" s="4">
        <v>3.9876080348448008E-2</v>
      </c>
    </row>
    <row r="81" spans="1:9" x14ac:dyDescent="0.3">
      <c r="A81" t="s">
        <v>4</v>
      </c>
      <c r="B81" s="20">
        <v>21</v>
      </c>
      <c r="C81">
        <v>110615</v>
      </c>
      <c r="D81" s="4">
        <v>3.1141794475699321E-2</v>
      </c>
    </row>
    <row r="82" spans="1:9" x14ac:dyDescent="0.3">
      <c r="A82" t="s">
        <v>4</v>
      </c>
      <c r="B82" s="21">
        <v>22</v>
      </c>
      <c r="C82">
        <v>80697</v>
      </c>
      <c r="D82" s="4">
        <v>2.2718884317728231E-2</v>
      </c>
    </row>
    <row r="83" spans="1:9" x14ac:dyDescent="0.3">
      <c r="A83" t="s">
        <v>4</v>
      </c>
      <c r="B83" s="22">
        <v>23</v>
      </c>
      <c r="C83">
        <v>50407</v>
      </c>
      <c r="D83" s="6">
        <v>1.4191243810844602E-2</v>
      </c>
    </row>
    <row r="85" spans="1:9" x14ac:dyDescent="0.3">
      <c r="A85" s="1" t="s">
        <v>29</v>
      </c>
      <c r="D85" s="52" t="s">
        <v>59</v>
      </c>
      <c r="E85" s="52"/>
      <c r="G85" s="31" t="s">
        <v>40</v>
      </c>
    </row>
    <row r="86" spans="1:9" x14ac:dyDescent="0.3">
      <c r="A86" s="43" t="s">
        <v>46</v>
      </c>
      <c r="B86" s="43" t="s">
        <v>51</v>
      </c>
      <c r="C86" s="43" t="s">
        <v>52</v>
      </c>
      <c r="D86" s="31" t="s">
        <v>38</v>
      </c>
      <c r="E86" s="31" t="s">
        <v>41</v>
      </c>
      <c r="G86" s="43" t="s">
        <v>46</v>
      </c>
      <c r="H86" s="43" t="s">
        <v>54</v>
      </c>
      <c r="I86" s="43" t="s">
        <v>52</v>
      </c>
    </row>
    <row r="87" spans="1:9" x14ac:dyDescent="0.3">
      <c r="A87" t="s">
        <v>3</v>
      </c>
      <c r="B87" s="21">
        <v>0</v>
      </c>
      <c r="C87">
        <v>12.9497413852491</v>
      </c>
      <c r="D87" s="34">
        <v>38891</v>
      </c>
      <c r="E87" s="34">
        <f t="shared" ref="E87:E134" si="0">C87*D87</f>
        <v>503628.39221372275</v>
      </c>
      <c r="G87" t="s">
        <v>3</v>
      </c>
      <c r="H87" t="s">
        <v>24</v>
      </c>
      <c r="I87">
        <f>SUM('Tables &amp; Calculations'!E93:E97)/SUM('Tables &amp; Calculations'!D93:D97)</f>
        <v>16.036538808954397</v>
      </c>
    </row>
    <row r="88" spans="1:9" x14ac:dyDescent="0.3">
      <c r="A88" t="s">
        <v>3</v>
      </c>
      <c r="B88" s="21">
        <v>1</v>
      </c>
      <c r="C88">
        <v>12.909101119985801</v>
      </c>
      <c r="D88" s="34">
        <v>24873</v>
      </c>
      <c r="E88" s="34">
        <f t="shared" si="0"/>
        <v>321088.07215740683</v>
      </c>
      <c r="G88" t="s">
        <v>3</v>
      </c>
      <c r="H88" t="s">
        <v>25</v>
      </c>
      <c r="I88">
        <f>SUM('Tables &amp; Calculations'!E98:E103)/SUM('Tables &amp; Calculations'!D98:D103)</f>
        <v>19.652495373034771</v>
      </c>
    </row>
    <row r="89" spans="1:9" x14ac:dyDescent="0.3">
      <c r="A89" t="s">
        <v>3</v>
      </c>
      <c r="B89" s="21">
        <v>2</v>
      </c>
      <c r="C89">
        <v>12.6869803655919</v>
      </c>
      <c r="D89" s="34">
        <v>16687</v>
      </c>
      <c r="E89" s="34">
        <f t="shared" si="0"/>
        <v>211707.64136063203</v>
      </c>
      <c r="G89" t="s">
        <v>3</v>
      </c>
      <c r="H89" t="s">
        <v>26</v>
      </c>
      <c r="I89">
        <f>SUM('Tables &amp; Calculations'!E104:E108)/SUM('Tables &amp; Calculations'!D104:D108)</f>
        <v>16.06170236522183</v>
      </c>
    </row>
    <row r="90" spans="1:9" x14ac:dyDescent="0.3">
      <c r="A90" t="s">
        <v>3</v>
      </c>
      <c r="B90" s="21">
        <v>3</v>
      </c>
      <c r="C90">
        <v>12.5003509558888</v>
      </c>
      <c r="D90" s="34">
        <v>9253</v>
      </c>
      <c r="E90" s="34">
        <f t="shared" si="0"/>
        <v>115665.74739483907</v>
      </c>
      <c r="G90" s="5" t="s">
        <v>3</v>
      </c>
      <c r="H90" s="5" t="s">
        <v>27</v>
      </c>
      <c r="I90" s="5">
        <f>SUM('Tables &amp; Calculations'!E87:E92,'Tables &amp; Calculations'!E109:E110)/SUM('Tables &amp; Calculations'!D87:D92,'Tables &amp; Calculations'!D109:D110)</f>
        <v>13.516800110641801</v>
      </c>
    </row>
    <row r="91" spans="1:9" x14ac:dyDescent="0.3">
      <c r="A91" t="s">
        <v>3</v>
      </c>
      <c r="B91" s="21">
        <v>4</v>
      </c>
      <c r="C91">
        <v>11.0145658368913</v>
      </c>
      <c r="D91" s="34">
        <v>7280</v>
      </c>
      <c r="E91" s="34">
        <f t="shared" si="0"/>
        <v>80186.039292568661</v>
      </c>
      <c r="G91" t="s">
        <v>4</v>
      </c>
      <c r="H91" t="s">
        <v>24</v>
      </c>
      <c r="I91">
        <f>SUM('Tables &amp; Calculations'!E117:E121)/SUM('Tables &amp; Calculations'!D117:D121)</f>
        <v>10.536837987942993</v>
      </c>
    </row>
    <row r="92" spans="1:9" x14ac:dyDescent="0.3">
      <c r="A92" t="s">
        <v>3</v>
      </c>
      <c r="B92" s="21">
        <v>5</v>
      </c>
      <c r="C92">
        <v>11.5719636182421</v>
      </c>
      <c r="D92" s="34">
        <v>11521</v>
      </c>
      <c r="E92" s="34">
        <f t="shared" si="0"/>
        <v>133320.59284576724</v>
      </c>
      <c r="G92" t="s">
        <v>4</v>
      </c>
      <c r="H92" t="s">
        <v>25</v>
      </c>
      <c r="I92">
        <f>SUM('Tables &amp; Calculations'!E122:E127)/SUM('Tables &amp; Calculations'!D122:D127)</f>
        <v>11.752223362855732</v>
      </c>
    </row>
    <row r="93" spans="1:9" x14ac:dyDescent="0.3">
      <c r="A93" t="s">
        <v>3</v>
      </c>
      <c r="B93" s="18">
        <v>6</v>
      </c>
      <c r="C93">
        <v>11.337454898831499</v>
      </c>
      <c r="D93" s="34">
        <v>26632</v>
      </c>
      <c r="E93" s="34">
        <f t="shared" si="0"/>
        <v>301939.09886568051</v>
      </c>
      <c r="G93" t="s">
        <v>4</v>
      </c>
      <c r="H93" t="s">
        <v>26</v>
      </c>
      <c r="I93">
        <f>SUM('Tables &amp; Calculations'!E128:E132)/SUM('Tables &amp; Calculations'!D128:D132)</f>
        <v>11.940964858071164</v>
      </c>
    </row>
    <row r="94" spans="1:9" x14ac:dyDescent="0.3">
      <c r="A94" t="s">
        <v>3</v>
      </c>
      <c r="B94" s="18">
        <v>7</v>
      </c>
      <c r="C94">
        <v>12.0905996539728</v>
      </c>
      <c r="D94" s="34">
        <v>49693</v>
      </c>
      <c r="E94" s="34">
        <f t="shared" si="0"/>
        <v>600818.16860487033</v>
      </c>
      <c r="G94" t="s">
        <v>4</v>
      </c>
      <c r="H94" t="s">
        <v>27</v>
      </c>
      <c r="I94">
        <f>SUM('Tables &amp; Calculations'!E111:E116,'Tables &amp; Calculations'!E133:E134)/SUM('Tables &amp; Calculations'!D111:D116,'Tables &amp; Calculations'!D133:D134)</f>
        <v>10.897184744739567</v>
      </c>
    </row>
    <row r="95" spans="1:9" x14ac:dyDescent="0.3">
      <c r="A95" t="s">
        <v>3</v>
      </c>
      <c r="B95" s="18">
        <v>8</v>
      </c>
      <c r="C95">
        <v>13.3610654011592</v>
      </c>
      <c r="D95" s="34">
        <v>70563</v>
      </c>
      <c r="E95" s="34">
        <f t="shared" si="0"/>
        <v>942796.85790199658</v>
      </c>
    </row>
    <row r="96" spans="1:9" x14ac:dyDescent="0.3">
      <c r="A96" t="s">
        <v>3</v>
      </c>
      <c r="B96" s="18">
        <v>9</v>
      </c>
      <c r="C96">
        <v>17.4646505834748</v>
      </c>
      <c r="D96" s="34">
        <v>70889</v>
      </c>
      <c r="E96" s="34">
        <f t="shared" si="0"/>
        <v>1238051.615211945</v>
      </c>
    </row>
    <row r="97" spans="1:5" x14ac:dyDescent="0.3">
      <c r="A97" t="s">
        <v>3</v>
      </c>
      <c r="B97" s="18">
        <v>10</v>
      </c>
      <c r="C97">
        <v>20.816012105884901</v>
      </c>
      <c r="D97" s="34">
        <v>85529</v>
      </c>
      <c r="E97" s="34">
        <f t="shared" si="0"/>
        <v>1780372.6994042296</v>
      </c>
    </row>
    <row r="98" spans="1:5" x14ac:dyDescent="0.3">
      <c r="A98" t="s">
        <v>3</v>
      </c>
      <c r="B98" s="19">
        <v>11</v>
      </c>
      <c r="C98">
        <v>21.059553788603299</v>
      </c>
      <c r="D98" s="34">
        <v>109329</v>
      </c>
      <c r="E98" s="34">
        <f t="shared" si="0"/>
        <v>2302419.95615421</v>
      </c>
    </row>
    <row r="99" spans="1:5" x14ac:dyDescent="0.3">
      <c r="A99" t="s">
        <v>3</v>
      </c>
      <c r="B99" s="19">
        <v>12</v>
      </c>
      <c r="C99">
        <v>20.309645101179001</v>
      </c>
      <c r="D99" s="34">
        <v>128679</v>
      </c>
      <c r="E99" s="34">
        <f t="shared" si="0"/>
        <v>2613424.8219746128</v>
      </c>
    </row>
    <row r="100" spans="1:5" x14ac:dyDescent="0.3">
      <c r="A100" t="s">
        <v>3</v>
      </c>
      <c r="B100" s="19">
        <v>13</v>
      </c>
      <c r="C100">
        <v>20.550252990789801</v>
      </c>
      <c r="D100" s="34">
        <v>131872</v>
      </c>
      <c r="E100" s="34">
        <f t="shared" si="0"/>
        <v>2710002.9624014325</v>
      </c>
    </row>
    <row r="101" spans="1:5" x14ac:dyDescent="0.3">
      <c r="A101" t="s">
        <v>3</v>
      </c>
      <c r="B101" s="19">
        <v>14</v>
      </c>
      <c r="C101">
        <v>20.261335293296799</v>
      </c>
      <c r="D101" s="34">
        <v>138926</v>
      </c>
      <c r="E101" s="34">
        <f t="shared" si="0"/>
        <v>2814826.266956551</v>
      </c>
    </row>
    <row r="102" spans="1:5" x14ac:dyDescent="0.3">
      <c r="A102" t="s">
        <v>3</v>
      </c>
      <c r="B102" s="19">
        <v>15</v>
      </c>
      <c r="C102">
        <v>19.054193386138099</v>
      </c>
      <c r="D102" s="34">
        <v>154303</v>
      </c>
      <c r="E102" s="34">
        <f t="shared" si="0"/>
        <v>2940119.2020612671</v>
      </c>
    </row>
    <row r="103" spans="1:5" x14ac:dyDescent="0.3">
      <c r="A103" t="s">
        <v>3</v>
      </c>
      <c r="B103" s="19">
        <v>16</v>
      </c>
      <c r="C103">
        <v>17.668148271099799</v>
      </c>
      <c r="D103" s="34">
        <v>175900</v>
      </c>
      <c r="E103" s="34">
        <f t="shared" si="0"/>
        <v>3107827.2808864545</v>
      </c>
    </row>
    <row r="104" spans="1:5" x14ac:dyDescent="0.3">
      <c r="A104" t="s">
        <v>3</v>
      </c>
      <c r="B104" s="20">
        <v>17</v>
      </c>
      <c r="C104">
        <v>16.822339895910201</v>
      </c>
      <c r="D104" s="34">
        <v>190743</v>
      </c>
      <c r="E104" s="34">
        <f t="shared" si="0"/>
        <v>3208743.5787655995</v>
      </c>
    </row>
    <row r="105" spans="1:5" x14ac:dyDescent="0.3">
      <c r="A105" t="s">
        <v>3</v>
      </c>
      <c r="B105" s="20">
        <v>18</v>
      </c>
      <c r="C105">
        <v>16.274625561141299</v>
      </c>
      <c r="D105" s="34">
        <v>163896</v>
      </c>
      <c r="E105" s="34">
        <f t="shared" si="0"/>
        <v>2667346.0309688142</v>
      </c>
    </row>
    <row r="106" spans="1:5" x14ac:dyDescent="0.3">
      <c r="A106" t="s">
        <v>3</v>
      </c>
      <c r="B106" s="20">
        <v>19</v>
      </c>
      <c r="C106">
        <v>15.8975227513305</v>
      </c>
      <c r="D106" s="34">
        <v>121939</v>
      </c>
      <c r="E106" s="34">
        <f t="shared" si="0"/>
        <v>1938528.0267744898</v>
      </c>
    </row>
    <row r="107" spans="1:5" x14ac:dyDescent="0.3">
      <c r="A107" t="s">
        <v>3</v>
      </c>
      <c r="B107" s="20">
        <v>20</v>
      </c>
      <c r="C107">
        <v>15.2783682486813</v>
      </c>
      <c r="D107" s="34">
        <v>87922</v>
      </c>
      <c r="E107" s="34">
        <f t="shared" si="0"/>
        <v>1343304.6931605572</v>
      </c>
    </row>
    <row r="108" spans="1:5" x14ac:dyDescent="0.3">
      <c r="A108" t="s">
        <v>3</v>
      </c>
      <c r="B108" s="20">
        <v>21</v>
      </c>
      <c r="C108">
        <v>14.850107396921301</v>
      </c>
      <c r="D108" s="34">
        <v>75183</v>
      </c>
      <c r="E108" s="34">
        <f t="shared" si="0"/>
        <v>1116475.6244227341</v>
      </c>
    </row>
    <row r="109" spans="1:5" x14ac:dyDescent="0.3">
      <c r="A109" t="s">
        <v>3</v>
      </c>
      <c r="B109" s="21">
        <v>22</v>
      </c>
      <c r="C109">
        <v>14.5821594182492</v>
      </c>
      <c r="D109" s="34">
        <v>63534</v>
      </c>
      <c r="E109" s="34">
        <f t="shared" si="0"/>
        <v>926462.91647904459</v>
      </c>
    </row>
    <row r="110" spans="1:5" x14ac:dyDescent="0.3">
      <c r="A110" s="5" t="s">
        <v>3</v>
      </c>
      <c r="B110" s="22">
        <v>23</v>
      </c>
      <c r="C110" s="5">
        <v>14.241220213813</v>
      </c>
      <c r="D110" s="35">
        <v>46047</v>
      </c>
      <c r="E110" s="35">
        <f t="shared" si="0"/>
        <v>655765.46718544723</v>
      </c>
    </row>
    <row r="111" spans="1:5" x14ac:dyDescent="0.3">
      <c r="A111" t="s">
        <v>4</v>
      </c>
      <c r="B111" s="21">
        <v>0</v>
      </c>
      <c r="C111">
        <v>10.545822899948201</v>
      </c>
      <c r="D111" s="34">
        <v>32412</v>
      </c>
      <c r="E111" s="34">
        <f t="shared" si="0"/>
        <v>341811.21183312108</v>
      </c>
    </row>
    <row r="112" spans="1:5" x14ac:dyDescent="0.3">
      <c r="A112" t="s">
        <v>4</v>
      </c>
      <c r="B112" s="21">
        <v>1</v>
      </c>
      <c r="C112">
        <v>10.445255252966501</v>
      </c>
      <c r="D112" s="34">
        <v>19992</v>
      </c>
      <c r="E112" s="34">
        <f t="shared" si="0"/>
        <v>208821.54301730628</v>
      </c>
    </row>
    <row r="113" spans="1:5" x14ac:dyDescent="0.3">
      <c r="A113" t="s">
        <v>4</v>
      </c>
      <c r="B113" s="21">
        <v>2</v>
      </c>
      <c r="C113">
        <v>10.465751483732401</v>
      </c>
      <c r="D113" s="34">
        <v>12088</v>
      </c>
      <c r="E113" s="34">
        <f t="shared" si="0"/>
        <v>126510.00393535726</v>
      </c>
    </row>
    <row r="114" spans="1:5" x14ac:dyDescent="0.3">
      <c r="A114" t="s">
        <v>4</v>
      </c>
      <c r="B114" s="21">
        <v>3</v>
      </c>
      <c r="C114">
        <v>10.806454512815201</v>
      </c>
      <c r="D114" s="34">
        <v>7901</v>
      </c>
      <c r="E114" s="34">
        <f t="shared" si="0"/>
        <v>85381.797105752907</v>
      </c>
    </row>
    <row r="115" spans="1:5" x14ac:dyDescent="0.3">
      <c r="A115" t="s">
        <v>4</v>
      </c>
      <c r="B115" s="21">
        <v>4</v>
      </c>
      <c r="C115">
        <v>10.434681664568</v>
      </c>
      <c r="D115" s="34">
        <v>8839</v>
      </c>
      <c r="E115" s="34">
        <f t="shared" si="0"/>
        <v>92232.151233116558</v>
      </c>
    </row>
    <row r="116" spans="1:5" x14ac:dyDescent="0.3">
      <c r="A116" t="s">
        <v>4</v>
      </c>
      <c r="B116" s="21">
        <v>5</v>
      </c>
      <c r="C116">
        <v>9.9822747348879499</v>
      </c>
      <c r="D116" s="34">
        <v>34302</v>
      </c>
      <c r="E116" s="34">
        <f t="shared" si="0"/>
        <v>342411.98795612645</v>
      </c>
    </row>
    <row r="117" spans="1:5" x14ac:dyDescent="0.3">
      <c r="A117" t="s">
        <v>4</v>
      </c>
      <c r="B117" s="18">
        <v>6</v>
      </c>
      <c r="C117">
        <v>9.7193779438443393</v>
      </c>
      <c r="D117" s="34">
        <v>100967</v>
      </c>
      <c r="E117" s="34">
        <f t="shared" si="0"/>
        <v>981336.43285613146</v>
      </c>
    </row>
    <row r="118" spans="1:5" x14ac:dyDescent="0.3">
      <c r="A118" t="s">
        <v>4</v>
      </c>
      <c r="B118" s="18">
        <v>7</v>
      </c>
      <c r="C118">
        <v>10.564139140594801</v>
      </c>
      <c r="D118" s="34">
        <v>199736</v>
      </c>
      <c r="E118" s="34">
        <f t="shared" si="0"/>
        <v>2110038.8953858432</v>
      </c>
    </row>
    <row r="119" spans="1:5" x14ac:dyDescent="0.3">
      <c r="A119" t="s">
        <v>4</v>
      </c>
      <c r="B119" s="18">
        <v>8</v>
      </c>
      <c r="C119">
        <v>10.5691990469454</v>
      </c>
      <c r="D119" s="34">
        <v>256931</v>
      </c>
      <c r="E119" s="34">
        <f t="shared" si="0"/>
        <v>2715554.8803307284</v>
      </c>
    </row>
    <row r="120" spans="1:5" x14ac:dyDescent="0.3">
      <c r="A120" t="s">
        <v>4</v>
      </c>
      <c r="B120" s="18">
        <v>9</v>
      </c>
      <c r="C120">
        <v>10.4444484844167</v>
      </c>
      <c r="D120" s="34">
        <v>166727</v>
      </c>
      <c r="E120" s="34">
        <f t="shared" si="0"/>
        <v>1741371.5624613431</v>
      </c>
    </row>
    <row r="121" spans="1:5" x14ac:dyDescent="0.3">
      <c r="A121" t="s">
        <v>4</v>
      </c>
      <c r="B121" s="18">
        <v>10</v>
      </c>
      <c r="C121">
        <v>11.1244517318805</v>
      </c>
      <c r="D121" s="34">
        <v>143245</v>
      </c>
      <c r="E121" s="34">
        <f t="shared" si="0"/>
        <v>1593522.0883332223</v>
      </c>
    </row>
    <row r="122" spans="1:5" x14ac:dyDescent="0.3">
      <c r="A122" t="s">
        <v>4</v>
      </c>
      <c r="B122" s="19">
        <v>11</v>
      </c>
      <c r="C122">
        <v>11.3929443303428</v>
      </c>
      <c r="D122" s="34">
        <v>168095</v>
      </c>
      <c r="E122" s="34">
        <f t="shared" si="0"/>
        <v>1915096.9772089729</v>
      </c>
    </row>
    <row r="123" spans="1:5" x14ac:dyDescent="0.3">
      <c r="A123" t="s">
        <v>4</v>
      </c>
      <c r="B123" s="19">
        <v>12</v>
      </c>
      <c r="C123">
        <v>11.2741409059849</v>
      </c>
      <c r="D123" s="34">
        <v>190226</v>
      </c>
      <c r="E123" s="34">
        <f t="shared" si="0"/>
        <v>2144634.7279818836</v>
      </c>
    </row>
    <row r="124" spans="1:5" x14ac:dyDescent="0.3">
      <c r="A124" t="s">
        <v>4</v>
      </c>
      <c r="B124" s="19">
        <v>13</v>
      </c>
      <c r="C124">
        <v>11.552578750012501</v>
      </c>
      <c r="D124" s="34">
        <v>184934</v>
      </c>
      <c r="E124" s="34">
        <f t="shared" si="0"/>
        <v>2136464.5985548119</v>
      </c>
    </row>
    <row r="125" spans="1:5" x14ac:dyDescent="0.3">
      <c r="A125" t="s">
        <v>4</v>
      </c>
      <c r="B125" s="19">
        <v>14</v>
      </c>
      <c r="C125">
        <v>11.944971562126799</v>
      </c>
      <c r="D125" s="34">
        <v>187764</v>
      </c>
      <c r="E125" s="34">
        <f t="shared" si="0"/>
        <v>2242835.6403911761</v>
      </c>
    </row>
    <row r="126" spans="1:5" x14ac:dyDescent="0.3">
      <c r="A126" t="s">
        <v>4</v>
      </c>
      <c r="B126" s="19">
        <v>15</v>
      </c>
      <c r="C126">
        <v>11.9515519415858</v>
      </c>
      <c r="D126" s="34">
        <v>237150</v>
      </c>
      <c r="E126" s="34">
        <f t="shared" si="0"/>
        <v>2834310.5429470725</v>
      </c>
    </row>
    <row r="127" spans="1:5" x14ac:dyDescent="0.3">
      <c r="A127" t="s">
        <v>4</v>
      </c>
      <c r="B127" s="19">
        <v>16</v>
      </c>
      <c r="C127">
        <v>12.0653842732958</v>
      </c>
      <c r="D127" s="34">
        <v>334639</v>
      </c>
      <c r="E127" s="34">
        <f t="shared" si="0"/>
        <v>4037548.1278314334</v>
      </c>
    </row>
    <row r="128" spans="1:5" x14ac:dyDescent="0.3">
      <c r="A128" t="s">
        <v>4</v>
      </c>
      <c r="B128" s="20">
        <v>17</v>
      </c>
      <c r="C128">
        <v>12.3585433841158</v>
      </c>
      <c r="D128" s="34">
        <v>382236</v>
      </c>
      <c r="E128" s="34">
        <f t="shared" si="0"/>
        <v>4723880.1889708871</v>
      </c>
    </row>
    <row r="129" spans="1:9" x14ac:dyDescent="0.3">
      <c r="A129" t="s">
        <v>4</v>
      </c>
      <c r="B129" s="20">
        <v>18</v>
      </c>
      <c r="C129">
        <v>12.0076260982457</v>
      </c>
      <c r="D129" s="34">
        <v>295901</v>
      </c>
      <c r="E129" s="34">
        <f t="shared" si="0"/>
        <v>3553068.5700970008</v>
      </c>
    </row>
    <row r="130" spans="1:9" x14ac:dyDescent="0.3">
      <c r="A130" t="s">
        <v>4</v>
      </c>
      <c r="B130" s="20">
        <v>19</v>
      </c>
      <c r="C130">
        <v>11.615408614485499</v>
      </c>
      <c r="D130" s="34">
        <v>204536</v>
      </c>
      <c r="E130" s="34">
        <f t="shared" si="0"/>
        <v>2375769.2163724061</v>
      </c>
    </row>
    <row r="131" spans="1:9" x14ac:dyDescent="0.3">
      <c r="A131" t="s">
        <v>4</v>
      </c>
      <c r="B131" s="20">
        <v>20</v>
      </c>
      <c r="C131">
        <v>11.5106695842852</v>
      </c>
      <c r="D131" s="34">
        <v>141639</v>
      </c>
      <c r="E131" s="34">
        <f t="shared" si="0"/>
        <v>1630359.7292485714</v>
      </c>
    </row>
    <row r="132" spans="1:9" x14ac:dyDescent="0.3">
      <c r="A132" t="s">
        <v>4</v>
      </c>
      <c r="B132" s="20">
        <v>21</v>
      </c>
      <c r="C132">
        <v>11.4726367923633</v>
      </c>
      <c r="D132" s="34">
        <v>110615</v>
      </c>
      <c r="E132" s="34">
        <f t="shared" si="0"/>
        <v>1269045.7187872664</v>
      </c>
    </row>
    <row r="133" spans="1:9" x14ac:dyDescent="0.3">
      <c r="A133" t="s">
        <v>4</v>
      </c>
      <c r="B133" s="21">
        <v>22</v>
      </c>
      <c r="C133">
        <v>11.3724597179227</v>
      </c>
      <c r="D133" s="34">
        <v>80697</v>
      </c>
      <c r="E133" s="34">
        <f t="shared" si="0"/>
        <v>917723.38185720809</v>
      </c>
    </row>
    <row r="134" spans="1:9" x14ac:dyDescent="0.3">
      <c r="A134" t="s">
        <v>4</v>
      </c>
      <c r="B134" s="22">
        <v>23</v>
      </c>
      <c r="C134">
        <v>11.3628617877495</v>
      </c>
      <c r="D134" s="34">
        <v>50407</v>
      </c>
      <c r="E134" s="34">
        <f t="shared" si="0"/>
        <v>572767.77413508901</v>
      </c>
    </row>
    <row r="136" spans="1:9" x14ac:dyDescent="0.3">
      <c r="A136" s="2" t="s">
        <v>5</v>
      </c>
      <c r="G136" s="31" t="s">
        <v>21</v>
      </c>
    </row>
    <row r="137" spans="1:9" x14ac:dyDescent="0.3">
      <c r="A137" s="43" t="s">
        <v>46</v>
      </c>
      <c r="B137" s="43" t="s">
        <v>55</v>
      </c>
      <c r="C137" s="43" t="s">
        <v>38</v>
      </c>
      <c r="D137" s="43" t="s">
        <v>42</v>
      </c>
      <c r="G137" s="43" t="s">
        <v>46</v>
      </c>
      <c r="H137" s="43" t="s">
        <v>56</v>
      </c>
      <c r="I137" s="43" t="s">
        <v>42</v>
      </c>
    </row>
    <row r="138" spans="1:9" x14ac:dyDescent="0.3">
      <c r="A138" t="s">
        <v>3</v>
      </c>
      <c r="B138" t="s">
        <v>10</v>
      </c>
      <c r="C138">
        <v>332460</v>
      </c>
      <c r="D138" s="4">
        <f t="shared" ref="D138:D144" si="1">C138/SUM($C$138:$C$144)</f>
        <v>0.1662230186332174</v>
      </c>
      <c r="G138" t="s">
        <v>3</v>
      </c>
      <c r="H138" t="s">
        <v>23</v>
      </c>
      <c r="I138" s="16">
        <f>SUM('Tables &amp; Calculations'!C138,'Tables &amp; Calculations'!C144)/SUM('Tables &amp; Calculations'!C138:C144)</f>
        <v>0.37319182594331041</v>
      </c>
    </row>
    <row r="139" spans="1:9" x14ac:dyDescent="0.3">
      <c r="A139" t="s">
        <v>3</v>
      </c>
      <c r="B139" t="s">
        <v>11</v>
      </c>
      <c r="C139">
        <v>228824</v>
      </c>
      <c r="D139" s="4">
        <f t="shared" si="1"/>
        <v>0.11440719489781428</v>
      </c>
      <c r="G139" s="5" t="s">
        <v>3</v>
      </c>
      <c r="H139" s="5" t="s">
        <v>22</v>
      </c>
      <c r="I139" s="17">
        <f>1-I138</f>
        <v>0.62680817405668954</v>
      </c>
    </row>
    <row r="140" spans="1:9" x14ac:dyDescent="0.3">
      <c r="A140" t="s">
        <v>3</v>
      </c>
      <c r="B140" t="s">
        <v>12</v>
      </c>
      <c r="C140">
        <v>227079</v>
      </c>
      <c r="D140" s="4">
        <f t="shared" si="1"/>
        <v>0.11353473154127526</v>
      </c>
      <c r="G140" t="s">
        <v>4</v>
      </c>
      <c r="H140" t="s">
        <v>23</v>
      </c>
      <c r="I140" s="16">
        <f>SUM('Tables &amp; Calculations'!C145,'Tables &amp; Calculations'!C151)/SUM('Tables &amp; Calculations'!C145:C151)</f>
        <v>0.23400194652051715</v>
      </c>
    </row>
    <row r="141" spans="1:9" x14ac:dyDescent="0.3">
      <c r="A141" t="s">
        <v>3</v>
      </c>
      <c r="B141" t="s">
        <v>13</v>
      </c>
      <c r="C141">
        <v>220516</v>
      </c>
      <c r="D141" s="4">
        <f t="shared" si="1"/>
        <v>0.11025336935848694</v>
      </c>
      <c r="G141" t="s">
        <v>4</v>
      </c>
      <c r="H141" t="s">
        <v>22</v>
      </c>
      <c r="I141" s="16">
        <f>1-I140</f>
        <v>0.7659980534794828</v>
      </c>
    </row>
    <row r="142" spans="1:9" x14ac:dyDescent="0.3">
      <c r="A142" t="s">
        <v>3</v>
      </c>
      <c r="B142" t="s">
        <v>14</v>
      </c>
      <c r="C142">
        <v>257285</v>
      </c>
      <c r="D142" s="4">
        <f t="shared" si="1"/>
        <v>0.12863709724191583</v>
      </c>
    </row>
    <row r="143" spans="1:9" x14ac:dyDescent="0.3">
      <c r="A143" t="s">
        <v>3</v>
      </c>
      <c r="B143" t="s">
        <v>15</v>
      </c>
      <c r="C143">
        <v>319965</v>
      </c>
      <c r="D143" s="4">
        <f t="shared" si="1"/>
        <v>0.15997578101719728</v>
      </c>
    </row>
    <row r="144" spans="1:9" x14ac:dyDescent="0.3">
      <c r="A144" s="5" t="s">
        <v>3</v>
      </c>
      <c r="B144" s="5" t="s">
        <v>16</v>
      </c>
      <c r="C144" s="5">
        <v>413955</v>
      </c>
      <c r="D144" s="6">
        <f t="shared" si="1"/>
        <v>0.20696880731009298</v>
      </c>
    </row>
    <row r="145" spans="1:9" x14ac:dyDescent="0.3">
      <c r="A145" t="s">
        <v>4</v>
      </c>
      <c r="B145" t="s">
        <v>10</v>
      </c>
      <c r="C145">
        <v>382132</v>
      </c>
      <c r="D145" s="4">
        <f t="shared" ref="D145:D151" si="2">C145/SUM($C$145:$C$151)</f>
        <v>0.1075828432544224</v>
      </c>
    </row>
    <row r="146" spans="1:9" x14ac:dyDescent="0.3">
      <c r="A146" t="s">
        <v>4</v>
      </c>
      <c r="B146" t="s">
        <v>11</v>
      </c>
      <c r="C146">
        <v>504352</v>
      </c>
      <c r="D146" s="4">
        <f t="shared" si="2"/>
        <v>0.14199183046971842</v>
      </c>
    </row>
    <row r="147" spans="1:9" x14ac:dyDescent="0.3">
      <c r="A147" t="s">
        <v>4</v>
      </c>
      <c r="B147" t="s">
        <v>12</v>
      </c>
      <c r="C147">
        <v>569167</v>
      </c>
      <c r="D147" s="4">
        <f t="shared" si="2"/>
        <v>0.16023940456855179</v>
      </c>
    </row>
    <row r="148" spans="1:9" x14ac:dyDescent="0.3">
      <c r="A148" t="s">
        <v>4</v>
      </c>
      <c r="B148" t="s">
        <v>13</v>
      </c>
      <c r="C148">
        <v>548658</v>
      </c>
      <c r="D148" s="4">
        <f t="shared" si="2"/>
        <v>0.15446544025175823</v>
      </c>
    </row>
    <row r="149" spans="1:9" x14ac:dyDescent="0.3">
      <c r="A149" t="s">
        <v>4</v>
      </c>
      <c r="B149" t="s">
        <v>14</v>
      </c>
      <c r="C149">
        <v>571181</v>
      </c>
      <c r="D149" s="4">
        <f t="shared" si="2"/>
        <v>0.16080641242529869</v>
      </c>
    </row>
    <row r="150" spans="1:9" x14ac:dyDescent="0.3">
      <c r="A150" t="s">
        <v>4</v>
      </c>
      <c r="B150" t="s">
        <v>15</v>
      </c>
      <c r="C150">
        <v>527451</v>
      </c>
      <c r="D150" s="4">
        <f t="shared" si="2"/>
        <v>0.14849496576415569</v>
      </c>
    </row>
    <row r="151" spans="1:9" x14ac:dyDescent="0.3">
      <c r="A151" t="s">
        <v>4</v>
      </c>
      <c r="B151" t="s">
        <v>16</v>
      </c>
      <c r="C151">
        <v>449038</v>
      </c>
      <c r="D151" s="4">
        <f t="shared" si="2"/>
        <v>0.12641910326609476</v>
      </c>
    </row>
    <row r="153" spans="1:9" x14ac:dyDescent="0.3">
      <c r="A153" s="1" t="s">
        <v>8</v>
      </c>
      <c r="D153" s="52" t="s">
        <v>59</v>
      </c>
      <c r="E153" s="52"/>
      <c r="G153" s="31" t="s">
        <v>45</v>
      </c>
    </row>
    <row r="154" spans="1:9" x14ac:dyDescent="0.3">
      <c r="A154" s="43" t="s">
        <v>46</v>
      </c>
      <c r="B154" s="43" t="s">
        <v>55</v>
      </c>
      <c r="C154" s="43" t="s">
        <v>52</v>
      </c>
      <c r="D154" s="31" t="s">
        <v>38</v>
      </c>
      <c r="E154" s="31" t="s">
        <v>39</v>
      </c>
      <c r="G154" s="43" t="s">
        <v>46</v>
      </c>
      <c r="H154" s="43" t="s">
        <v>56</v>
      </c>
      <c r="I154" s="43" t="s">
        <v>52</v>
      </c>
    </row>
    <row r="155" spans="1:9" x14ac:dyDescent="0.3">
      <c r="A155" t="s">
        <v>3</v>
      </c>
      <c r="B155" t="s">
        <v>10</v>
      </c>
      <c r="C155" s="9">
        <v>19.789768930301001</v>
      </c>
      <c r="D155" s="32">
        <v>332460</v>
      </c>
      <c r="E155" s="32">
        <f t="shared" ref="E155:E168" si="3">C155*D155</f>
        <v>6579306.5785678709</v>
      </c>
      <c r="G155" t="s">
        <v>3</v>
      </c>
      <c r="H155" t="s">
        <v>23</v>
      </c>
      <c r="I155" s="28">
        <f>SUM('Tables &amp; Calculations'!E155,'Tables &amp; Calculations'!E161)/SUM('Tables &amp; Calculations'!D155,'Tables &amp; Calculations'!D161)</f>
        <v>19.490755956790242</v>
      </c>
    </row>
    <row r="156" spans="1:9" x14ac:dyDescent="0.3">
      <c r="A156" t="s">
        <v>3</v>
      </c>
      <c r="B156" t="s">
        <v>11</v>
      </c>
      <c r="C156" s="9">
        <v>17.252962226498799</v>
      </c>
      <c r="D156" s="32">
        <v>228824</v>
      </c>
      <c r="E156" s="32">
        <f t="shared" si="3"/>
        <v>3947891.8285163613</v>
      </c>
      <c r="G156" s="5" t="s">
        <v>3</v>
      </c>
      <c r="H156" s="5" t="s">
        <v>22</v>
      </c>
      <c r="I156" s="29">
        <f>SUM('Tables &amp; Calculations'!E156:E160)/SUM('Tables &amp; Calculations'!D156:D160)</f>
        <v>15.974431623697352</v>
      </c>
    </row>
    <row r="157" spans="1:9" x14ac:dyDescent="0.3">
      <c r="A157" t="s">
        <v>3</v>
      </c>
      <c r="B157" t="s">
        <v>12</v>
      </c>
      <c r="C157" s="9">
        <v>15.347715910966199</v>
      </c>
      <c r="D157" s="32">
        <v>227079</v>
      </c>
      <c r="E157" s="32">
        <f t="shared" si="3"/>
        <v>3485143.9813462934</v>
      </c>
      <c r="G157" t="s">
        <v>4</v>
      </c>
      <c r="H157" t="s">
        <v>23</v>
      </c>
      <c r="I157" s="30">
        <f>SUM('Tables &amp; Calculations'!E162,'Tables &amp; Calculations'!E168)/SUM('Tables &amp; Calculations'!D162,'Tables &amp; Calculations'!D168)</f>
        <v>12.482658834524486</v>
      </c>
    </row>
    <row r="158" spans="1:9" x14ac:dyDescent="0.3">
      <c r="A158" t="s">
        <v>3</v>
      </c>
      <c r="B158" t="s">
        <v>13</v>
      </c>
      <c r="C158" s="9">
        <v>14.5416811645302</v>
      </c>
      <c r="D158" s="32">
        <v>220516</v>
      </c>
      <c r="E158" s="32">
        <f t="shared" si="3"/>
        <v>3206673.3636775417</v>
      </c>
      <c r="G158" t="s">
        <v>4</v>
      </c>
      <c r="H158" t="s">
        <v>22</v>
      </c>
      <c r="I158" s="30">
        <f>SUM('Tables &amp; Calculations'!E163:E167)/SUM('Tables &amp; Calculations'!D163:D167)</f>
        <v>11.143059969577546</v>
      </c>
    </row>
    <row r="159" spans="1:9" x14ac:dyDescent="0.3">
      <c r="A159" t="s">
        <v>3</v>
      </c>
      <c r="B159" t="s">
        <v>14</v>
      </c>
      <c r="C159" s="9">
        <v>15.308800351283001</v>
      </c>
      <c r="D159" s="32">
        <v>257285</v>
      </c>
      <c r="E159" s="32">
        <f t="shared" si="3"/>
        <v>3938724.6983798468</v>
      </c>
    </row>
    <row r="160" spans="1:9" x14ac:dyDescent="0.3">
      <c r="A160" t="s">
        <v>3</v>
      </c>
      <c r="B160" t="s">
        <v>15</v>
      </c>
      <c r="C160" s="9">
        <v>17.027536909752602</v>
      </c>
      <c r="D160" s="32">
        <v>319965</v>
      </c>
      <c r="E160" s="32">
        <f t="shared" si="3"/>
        <v>5448215.8473289916</v>
      </c>
    </row>
    <row r="161" spans="1:9" x14ac:dyDescent="0.3">
      <c r="A161" s="5" t="s">
        <v>3</v>
      </c>
      <c r="B161" s="5" t="s">
        <v>16</v>
      </c>
      <c r="C161" s="10">
        <v>19.250609435614301</v>
      </c>
      <c r="D161" s="33">
        <v>413955</v>
      </c>
      <c r="E161" s="33">
        <f t="shared" si="3"/>
        <v>7968886.0289197182</v>
      </c>
    </row>
    <row r="162" spans="1:9" x14ac:dyDescent="0.3">
      <c r="A162" t="s">
        <v>4</v>
      </c>
      <c r="B162" t="s">
        <v>10</v>
      </c>
      <c r="C162" s="9">
        <v>12.5194180204891</v>
      </c>
      <c r="D162" s="32">
        <v>382132</v>
      </c>
      <c r="E162" s="32">
        <f t="shared" si="3"/>
        <v>4784070.2470055409</v>
      </c>
    </row>
    <row r="163" spans="1:9" x14ac:dyDescent="0.3">
      <c r="A163" t="s">
        <v>4</v>
      </c>
      <c r="B163" t="s">
        <v>11</v>
      </c>
      <c r="C163" s="9">
        <v>11.075514288627399</v>
      </c>
      <c r="D163" s="32">
        <v>504352</v>
      </c>
      <c r="E163" s="32">
        <f t="shared" si="3"/>
        <v>5585957.7824978065</v>
      </c>
    </row>
    <row r="164" spans="1:9" x14ac:dyDescent="0.3">
      <c r="A164" t="s">
        <v>4</v>
      </c>
      <c r="B164" t="s">
        <v>12</v>
      </c>
      <c r="C164" s="9">
        <v>11.124631519624099</v>
      </c>
      <c r="D164" s="32">
        <v>569167</v>
      </c>
      <c r="E164" s="32">
        <f t="shared" si="3"/>
        <v>6331773.1481298897</v>
      </c>
    </row>
    <row r="165" spans="1:9" x14ac:dyDescent="0.3">
      <c r="A165" t="s">
        <v>4</v>
      </c>
      <c r="B165" t="s">
        <v>13</v>
      </c>
      <c r="C165" s="9">
        <v>11.0139289150172</v>
      </c>
      <c r="D165" s="32">
        <v>548658</v>
      </c>
      <c r="E165" s="32">
        <f t="shared" si="3"/>
        <v>6042880.2106555067</v>
      </c>
    </row>
    <row r="166" spans="1:9" x14ac:dyDescent="0.3">
      <c r="A166" t="s">
        <v>4</v>
      </c>
      <c r="B166" t="s">
        <v>14</v>
      </c>
      <c r="C166" s="9">
        <v>11.134107703514699</v>
      </c>
      <c r="D166" s="32">
        <v>571181</v>
      </c>
      <c r="E166" s="32">
        <f t="shared" si="3"/>
        <v>6359590.7722012298</v>
      </c>
    </row>
    <row r="167" spans="1:9" x14ac:dyDescent="0.3">
      <c r="A167" t="s">
        <v>4</v>
      </c>
      <c r="B167" t="s">
        <v>15</v>
      </c>
      <c r="C167" s="9">
        <v>11.371550986313199</v>
      </c>
      <c r="D167" s="32">
        <v>527451</v>
      </c>
      <c r="E167" s="32">
        <f t="shared" si="3"/>
        <v>5997935.9392818836</v>
      </c>
    </row>
    <row r="168" spans="1:9" x14ac:dyDescent="0.3">
      <c r="A168" t="s">
        <v>4</v>
      </c>
      <c r="B168" t="s">
        <v>16</v>
      </c>
      <c r="C168" s="9">
        <v>12.4513767130759</v>
      </c>
      <c r="D168" s="32">
        <v>449038</v>
      </c>
      <c r="E168" s="32">
        <f t="shared" si="3"/>
        <v>5591141.2964861766</v>
      </c>
    </row>
    <row r="170" spans="1:9" x14ac:dyDescent="0.3">
      <c r="A170" s="1" t="s">
        <v>7</v>
      </c>
      <c r="G170" s="1" t="s">
        <v>37</v>
      </c>
    </row>
    <row r="171" spans="1:9" x14ac:dyDescent="0.3">
      <c r="A171" s="43" t="s">
        <v>46</v>
      </c>
      <c r="B171" s="43" t="s">
        <v>57</v>
      </c>
      <c r="C171" s="43" t="s">
        <v>38</v>
      </c>
      <c r="D171" s="43" t="s">
        <v>42</v>
      </c>
      <c r="G171" s="43" t="s">
        <v>46</v>
      </c>
      <c r="H171" s="43" t="s">
        <v>58</v>
      </c>
      <c r="I171" s="43" t="s">
        <v>42</v>
      </c>
    </row>
    <row r="172" spans="1:9" x14ac:dyDescent="0.3">
      <c r="A172" t="s">
        <v>3</v>
      </c>
      <c r="B172" s="21">
        <v>1</v>
      </c>
      <c r="C172">
        <v>24742</v>
      </c>
      <c r="D172" s="4">
        <f t="shared" ref="D172:D183" si="4">C172/SUM($C$172:$C$183)</f>
        <v>1.2370480439821528E-2</v>
      </c>
      <c r="G172" t="s">
        <v>3</v>
      </c>
      <c r="H172" t="s">
        <v>33</v>
      </c>
      <c r="I172" s="26">
        <f>SUM('Tables &amp; Calculations'!C174:C176)/SUM('Tables &amp; Calculations'!C172:C183)</f>
        <v>0.18892756504226824</v>
      </c>
    </row>
    <row r="173" spans="1:9" x14ac:dyDescent="0.3">
      <c r="A173" t="s">
        <v>3</v>
      </c>
      <c r="B173" s="21">
        <v>2</v>
      </c>
      <c r="C173">
        <v>27757</v>
      </c>
      <c r="D173" s="4">
        <f t="shared" si="4"/>
        <v>1.3877917127480646E-2</v>
      </c>
      <c r="G173" t="s">
        <v>3</v>
      </c>
      <c r="H173" t="s">
        <v>34</v>
      </c>
      <c r="I173" s="26">
        <f>SUM('Tables &amp; Calculations'!C177:C179)/SUM('Tables &amp; Calculations'!C172:C183)</f>
        <v>0.47659798288471883</v>
      </c>
    </row>
    <row r="174" spans="1:9" x14ac:dyDescent="0.3">
      <c r="A174" t="s">
        <v>3</v>
      </c>
      <c r="B174" s="24">
        <v>3</v>
      </c>
      <c r="C174">
        <v>85862</v>
      </c>
      <c r="D174" s="4">
        <f t="shared" si="4"/>
        <v>4.2929196973727102E-2</v>
      </c>
      <c r="G174" t="s">
        <v>3</v>
      </c>
      <c r="H174" t="s">
        <v>35</v>
      </c>
      <c r="I174" s="26">
        <f>SUM('Tables &amp; Calculations'!C180:C182)/SUM('Tables &amp; Calculations'!C172:C183)</f>
        <v>0.29418164437093641</v>
      </c>
    </row>
    <row r="175" spans="1:9" x14ac:dyDescent="0.3">
      <c r="A175" t="s">
        <v>3</v>
      </c>
      <c r="B175" s="24">
        <v>4</v>
      </c>
      <c r="C175">
        <v>109239</v>
      </c>
      <c r="D175" s="4">
        <f t="shared" si="4"/>
        <v>5.461720607734475E-2</v>
      </c>
      <c r="G175" s="5" t="s">
        <v>3</v>
      </c>
      <c r="H175" s="5" t="s">
        <v>36</v>
      </c>
      <c r="I175" s="27">
        <f>SUM('Tables &amp; Calculations'!C183,'Tables &amp; Calculations'!C172:C173)/SUM('Tables &amp; Calculations'!C172:C183)</f>
        <v>4.0292807702076515E-2</v>
      </c>
    </row>
    <row r="176" spans="1:9" x14ac:dyDescent="0.3">
      <c r="A176" t="s">
        <v>3</v>
      </c>
      <c r="B176" s="24">
        <v>5</v>
      </c>
      <c r="C176">
        <v>182770</v>
      </c>
      <c r="D176" s="4">
        <f t="shared" si="4"/>
        <v>9.1381161991196364E-2</v>
      </c>
      <c r="G176" t="s">
        <v>4</v>
      </c>
      <c r="H176" t="s">
        <v>33</v>
      </c>
      <c r="I176" s="25">
        <f>SUM('Tables &amp; Calculations'!D186:D188)*SUM('Tables &amp; Calculations'!D184:D195)</f>
        <v>0.22360774092414398</v>
      </c>
    </row>
    <row r="177" spans="1:9" x14ac:dyDescent="0.3">
      <c r="A177" t="s">
        <v>3</v>
      </c>
      <c r="B177" s="19">
        <v>6</v>
      </c>
      <c r="C177">
        <v>292006</v>
      </c>
      <c r="D177" s="4">
        <f t="shared" si="4"/>
        <v>0.14599686813153848</v>
      </c>
      <c r="G177" t="s">
        <v>4</v>
      </c>
      <c r="H177" t="s">
        <v>34</v>
      </c>
      <c r="I177" s="25">
        <f>SUM('Tables &amp; Calculations'!D189:D191)/SUM('Tables &amp; Calculations'!D184:D195)</f>
        <v>0.36017667897248262</v>
      </c>
    </row>
    <row r="178" spans="1:9" x14ac:dyDescent="0.3">
      <c r="A178" t="s">
        <v>3</v>
      </c>
      <c r="B178" s="19">
        <v>7</v>
      </c>
      <c r="C178">
        <v>323352</v>
      </c>
      <c r="D178" s="4">
        <f t="shared" si="4"/>
        <v>0.16166920989318448</v>
      </c>
      <c r="G178" t="s">
        <v>4</v>
      </c>
      <c r="H178" t="s">
        <v>35</v>
      </c>
      <c r="I178" s="25">
        <f>SUM('Tables &amp; Calculations'!D192:D194)/SUM('Tables &amp; Calculations'!D184:D195)</f>
        <v>0.31778143958621374</v>
      </c>
    </row>
    <row r="179" spans="1:9" x14ac:dyDescent="0.3">
      <c r="A179" t="s">
        <v>3</v>
      </c>
      <c r="B179" s="19">
        <v>8</v>
      </c>
      <c r="C179">
        <v>337878</v>
      </c>
      <c r="D179" s="4">
        <f t="shared" si="4"/>
        <v>0.16893190485999587</v>
      </c>
      <c r="G179" t="s">
        <v>4</v>
      </c>
      <c r="H179" t="s">
        <v>36</v>
      </c>
      <c r="I179" s="25">
        <f>1-SUM(I176:I178)</f>
        <v>9.8434140517159596E-2</v>
      </c>
    </row>
    <row r="180" spans="1:9" x14ac:dyDescent="0.3">
      <c r="A180" t="s">
        <v>3</v>
      </c>
      <c r="B180" s="20">
        <v>9</v>
      </c>
      <c r="C180">
        <v>265268</v>
      </c>
      <c r="D180" s="4">
        <f t="shared" si="4"/>
        <v>0.13262842960595655</v>
      </c>
    </row>
    <row r="181" spans="1:9" x14ac:dyDescent="0.3">
      <c r="A181" t="s">
        <v>3</v>
      </c>
      <c r="B181" s="20">
        <v>10</v>
      </c>
      <c r="C181">
        <v>224038</v>
      </c>
      <c r="D181" s="4">
        <f t="shared" si="4"/>
        <v>0.11201429539959322</v>
      </c>
    </row>
    <row r="182" spans="1:9" x14ac:dyDescent="0.3">
      <c r="A182" t="s">
        <v>3</v>
      </c>
      <c r="B182" s="20">
        <v>11</v>
      </c>
      <c r="C182">
        <v>99082</v>
      </c>
      <c r="D182" s="4">
        <f t="shared" si="4"/>
        <v>4.9538919365386652E-2</v>
      </c>
    </row>
    <row r="183" spans="1:9" x14ac:dyDescent="0.3">
      <c r="A183" s="5" t="s">
        <v>3</v>
      </c>
      <c r="B183" s="22">
        <v>12</v>
      </c>
      <c r="C183" s="5">
        <v>28090</v>
      </c>
      <c r="D183" s="6">
        <f t="shared" si="4"/>
        <v>1.4044410134774339E-2</v>
      </c>
    </row>
    <row r="184" spans="1:9" x14ac:dyDescent="0.3">
      <c r="A184" t="s">
        <v>4</v>
      </c>
      <c r="B184" s="21">
        <v>1</v>
      </c>
      <c r="C184">
        <v>113037</v>
      </c>
      <c r="D184" s="4">
        <f t="shared" ref="D184:D195" si="5">C184/SUM($C$184:$C$195)</f>
        <v>3.1823667876414809E-2</v>
      </c>
    </row>
    <row r="185" spans="1:9" x14ac:dyDescent="0.3">
      <c r="A185" t="s">
        <v>4</v>
      </c>
      <c r="B185" s="21">
        <v>2</v>
      </c>
      <c r="C185">
        <v>124144</v>
      </c>
      <c r="D185" s="4">
        <f t="shared" si="5"/>
        <v>3.4950657084402807E-2</v>
      </c>
    </row>
    <row r="186" spans="1:9" x14ac:dyDescent="0.3">
      <c r="A186" t="s">
        <v>4</v>
      </c>
      <c r="B186" s="24">
        <v>3</v>
      </c>
      <c r="C186">
        <v>212268</v>
      </c>
      <c r="D186" s="4">
        <f t="shared" si="5"/>
        <v>5.9760488448833735E-2</v>
      </c>
    </row>
    <row r="187" spans="1:9" x14ac:dyDescent="0.3">
      <c r="A187" t="s">
        <v>4</v>
      </c>
      <c r="B187" s="24">
        <v>4</v>
      </c>
      <c r="C187">
        <v>262137</v>
      </c>
      <c r="D187" s="4">
        <f t="shared" si="5"/>
        <v>7.3800267400229561E-2</v>
      </c>
    </row>
    <row r="188" spans="1:9" x14ac:dyDescent="0.3">
      <c r="A188" t="s">
        <v>4</v>
      </c>
      <c r="B188" s="24">
        <v>5</v>
      </c>
      <c r="C188">
        <v>319845</v>
      </c>
      <c r="D188" s="4">
        <f t="shared" si="5"/>
        <v>9.0046985075080674E-2</v>
      </c>
    </row>
    <row r="189" spans="1:9" x14ac:dyDescent="0.3">
      <c r="A189" t="s">
        <v>4</v>
      </c>
      <c r="B189" s="19">
        <v>6</v>
      </c>
      <c r="C189">
        <v>386795</v>
      </c>
      <c r="D189" s="4">
        <f t="shared" si="5"/>
        <v>0.10889563254737711</v>
      </c>
    </row>
    <row r="190" spans="1:9" x14ac:dyDescent="0.3">
      <c r="A190" t="s">
        <v>4</v>
      </c>
      <c r="B190" s="19">
        <v>7</v>
      </c>
      <c r="C190">
        <v>440106</v>
      </c>
      <c r="D190" s="4">
        <f t="shared" si="5"/>
        <v>0.1239044487594099</v>
      </c>
    </row>
    <row r="191" spans="1:9" x14ac:dyDescent="0.3">
      <c r="A191" t="s">
        <v>4</v>
      </c>
      <c r="B191" s="19">
        <v>8</v>
      </c>
      <c r="C191">
        <v>452439</v>
      </c>
      <c r="D191" s="4">
        <f t="shared" si="5"/>
        <v>0.12737659766569565</v>
      </c>
    </row>
    <row r="192" spans="1:9" x14ac:dyDescent="0.3">
      <c r="A192" t="s">
        <v>4</v>
      </c>
      <c r="B192" s="20">
        <v>9</v>
      </c>
      <c r="C192">
        <v>449294</v>
      </c>
      <c r="D192" s="4">
        <f t="shared" si="5"/>
        <v>0.12649117576427113</v>
      </c>
    </row>
    <row r="193" spans="1:9" x14ac:dyDescent="0.3">
      <c r="A193" t="s">
        <v>4</v>
      </c>
      <c r="B193" s="20">
        <v>10</v>
      </c>
      <c r="C193">
        <v>422058</v>
      </c>
      <c r="D193" s="4">
        <f t="shared" si="5"/>
        <v>0.1188233376379759</v>
      </c>
    </row>
    <row r="194" spans="1:9" x14ac:dyDescent="0.3">
      <c r="A194" t="s">
        <v>4</v>
      </c>
      <c r="B194" s="20">
        <v>11</v>
      </c>
      <c r="C194">
        <v>257401</v>
      </c>
      <c r="D194" s="4">
        <f t="shared" si="5"/>
        <v>7.2466926183966746E-2</v>
      </c>
    </row>
    <row r="195" spans="1:9" x14ac:dyDescent="0.3">
      <c r="A195" t="s">
        <v>4</v>
      </c>
      <c r="B195" s="22">
        <v>12</v>
      </c>
      <c r="C195">
        <v>112455</v>
      </c>
      <c r="D195" s="4">
        <f t="shared" si="5"/>
        <v>3.1659815556341973E-2</v>
      </c>
    </row>
    <row r="197" spans="1:9" x14ac:dyDescent="0.3">
      <c r="A197" s="1" t="s">
        <v>43</v>
      </c>
      <c r="D197" s="52" t="s">
        <v>59</v>
      </c>
      <c r="E197" s="52"/>
      <c r="G197" s="31" t="s">
        <v>44</v>
      </c>
      <c r="I197" s="3"/>
    </row>
    <row r="198" spans="1:9" x14ac:dyDescent="0.3">
      <c r="A198" s="43" t="s">
        <v>46</v>
      </c>
      <c r="B198" s="43" t="s">
        <v>57</v>
      </c>
      <c r="C198" s="43" t="s">
        <v>52</v>
      </c>
      <c r="D198" s="31" t="s">
        <v>38</v>
      </c>
      <c r="E198" s="31" t="s">
        <v>39</v>
      </c>
      <c r="G198" s="43" t="s">
        <v>46</v>
      </c>
      <c r="H198" s="43" t="s">
        <v>58</v>
      </c>
      <c r="I198" s="43" t="s">
        <v>52</v>
      </c>
    </row>
    <row r="199" spans="1:9" x14ac:dyDescent="0.3">
      <c r="A199" t="s">
        <v>3</v>
      </c>
      <c r="B199" s="21">
        <v>1</v>
      </c>
      <c r="C199">
        <v>9.9406982244424302</v>
      </c>
      <c r="D199" s="31">
        <v>24742</v>
      </c>
      <c r="E199" s="32">
        <f t="shared" ref="E199:E222" si="6">C199*D199</f>
        <v>245952.7554691546</v>
      </c>
      <c r="G199" t="s">
        <v>3</v>
      </c>
      <c r="H199" t="s">
        <v>33</v>
      </c>
      <c r="I199" s="40">
        <f>SUM('Tables &amp; Calculations'!E201:E203)/SUM('Tables &amp; Calculations'!D201:D203)</f>
        <v>17.002607685096869</v>
      </c>
    </row>
    <row r="200" spans="1:9" x14ac:dyDescent="0.3">
      <c r="A200" t="s">
        <v>3</v>
      </c>
      <c r="B200" s="21">
        <v>2</v>
      </c>
      <c r="C200">
        <v>10.772846441401301</v>
      </c>
      <c r="D200" s="31">
        <v>27757</v>
      </c>
      <c r="E200" s="32">
        <f t="shared" si="6"/>
        <v>299021.8986739759</v>
      </c>
      <c r="G200" t="s">
        <v>3</v>
      </c>
      <c r="H200" t="s">
        <v>34</v>
      </c>
      <c r="I200" s="40">
        <f>SUM('Tables &amp; Calculations'!E204:E206)/SUM('Tables &amp; Calculations'!D204:D206)</f>
        <v>18.78040028730684</v>
      </c>
    </row>
    <row r="201" spans="1:9" x14ac:dyDescent="0.3">
      <c r="A201" t="s">
        <v>3</v>
      </c>
      <c r="B201" s="24">
        <v>3</v>
      </c>
      <c r="C201">
        <v>15.6135843767336</v>
      </c>
      <c r="D201" s="31">
        <v>85862</v>
      </c>
      <c r="E201" s="32">
        <f t="shared" si="6"/>
        <v>1340613.5817551003</v>
      </c>
      <c r="G201" t="s">
        <v>3</v>
      </c>
      <c r="H201" t="s">
        <v>35</v>
      </c>
      <c r="I201" s="40">
        <f>SUM('Tables &amp; Calculations'!E207:E209)/SUM('Tables &amp; Calculations'!D207:D209)</f>
        <v>15.966412451916934</v>
      </c>
    </row>
    <row r="202" spans="1:9" x14ac:dyDescent="0.3">
      <c r="A202" t="s">
        <v>3</v>
      </c>
      <c r="B202" s="24">
        <v>4</v>
      </c>
      <c r="C202">
        <v>16.323010277019801</v>
      </c>
      <c r="D202" s="31">
        <v>109239</v>
      </c>
      <c r="E202" s="32">
        <f t="shared" si="6"/>
        <v>1783109.319651366</v>
      </c>
      <c r="G202" s="5" t="s">
        <v>3</v>
      </c>
      <c r="H202" s="5" t="s">
        <v>36</v>
      </c>
      <c r="I202" s="41">
        <f>SUM('Tables &amp; Calculations'!E210,'Tables &amp; Calculations'!E199:E200)/SUM('Tables &amp; Calculations'!D199:D200,'Tables &amp; Calculations'!D210)</f>
        <v>10.556509682765629</v>
      </c>
    </row>
    <row r="203" spans="1:9" x14ac:dyDescent="0.3">
      <c r="A203" t="s">
        <v>3</v>
      </c>
      <c r="B203" s="24">
        <v>5</v>
      </c>
      <c r="C203">
        <v>18.061331001634699</v>
      </c>
      <c r="D203" s="31">
        <v>182770</v>
      </c>
      <c r="E203" s="32">
        <f t="shared" si="6"/>
        <v>3301069.467168774</v>
      </c>
      <c r="G203" t="s">
        <v>4</v>
      </c>
      <c r="H203" t="s">
        <v>33</v>
      </c>
      <c r="I203" s="40">
        <f>SUM('Tables &amp; Calculations'!E213:E215)/SUM('Tables &amp; Calculations'!D213:D215)</f>
        <v>10.921436005334295</v>
      </c>
    </row>
    <row r="204" spans="1:9" x14ac:dyDescent="0.3">
      <c r="A204" t="s">
        <v>3</v>
      </c>
      <c r="B204" s="19">
        <v>6</v>
      </c>
      <c r="C204">
        <v>18.775370444878298</v>
      </c>
      <c r="D204" s="31">
        <v>292006</v>
      </c>
      <c r="E204" s="32">
        <f t="shared" si="6"/>
        <v>5482520.8221271327</v>
      </c>
      <c r="G204" t="s">
        <v>4</v>
      </c>
      <c r="H204" t="s">
        <v>34</v>
      </c>
      <c r="I204" s="40">
        <f>SUM('Tables &amp; Calculations'!E216:E218)/SUM('Tables &amp; Calculations'!D216:D218)</f>
        <v>12.373369862132034</v>
      </c>
    </row>
    <row r="205" spans="1:9" x14ac:dyDescent="0.3">
      <c r="A205" t="s">
        <v>3</v>
      </c>
      <c r="B205" s="19">
        <v>7</v>
      </c>
      <c r="C205">
        <v>18.490229145335899</v>
      </c>
      <c r="D205" s="31">
        <v>323352</v>
      </c>
      <c r="E205" s="32">
        <f t="shared" si="6"/>
        <v>5978852.5746026533</v>
      </c>
      <c r="G205" t="s">
        <v>4</v>
      </c>
      <c r="H205" t="s">
        <v>35</v>
      </c>
      <c r="I205" s="40">
        <f>SUM('Tables &amp; Calculations'!E219:E221)/SUM('Tables &amp; Calculations'!D219:D221)</f>
        <v>11.370605817946442</v>
      </c>
    </row>
    <row r="206" spans="1:9" x14ac:dyDescent="0.3">
      <c r="A206" t="s">
        <v>3</v>
      </c>
      <c r="B206" s="19">
        <v>8</v>
      </c>
      <c r="C206">
        <v>19.062443401291102</v>
      </c>
      <c r="D206" s="31">
        <v>337878</v>
      </c>
      <c r="E206" s="32">
        <f t="shared" si="6"/>
        <v>6440780.2515414348</v>
      </c>
      <c r="G206" t="s">
        <v>4</v>
      </c>
      <c r="H206" t="s">
        <v>36</v>
      </c>
      <c r="I206" s="40">
        <f>SUM('Tables &amp; Calculations'!E222,'Tables &amp; Calculations'!E211:E212)/SUM('Tables &amp; Calculations'!D211:D212,'Tables &amp; Calculations'!D222)</f>
        <v>9.588814910948825</v>
      </c>
    </row>
    <row r="207" spans="1:9" x14ac:dyDescent="0.3">
      <c r="A207" t="s">
        <v>3</v>
      </c>
      <c r="B207" s="20">
        <v>9</v>
      </c>
      <c r="C207">
        <v>17.314161087246699</v>
      </c>
      <c r="D207" s="31">
        <v>265268</v>
      </c>
      <c r="E207" s="32">
        <f t="shared" si="6"/>
        <v>4592892.8832917577</v>
      </c>
    </row>
    <row r="208" spans="1:9" x14ac:dyDescent="0.3">
      <c r="A208" t="s">
        <v>3</v>
      </c>
      <c r="B208" s="20">
        <v>10</v>
      </c>
      <c r="C208">
        <v>15.6815148023337</v>
      </c>
      <c r="D208" s="31">
        <v>224038</v>
      </c>
      <c r="E208" s="32">
        <f t="shared" si="6"/>
        <v>3513255.2132852376</v>
      </c>
    </row>
    <row r="209" spans="1:5" x14ac:dyDescent="0.3">
      <c r="A209" t="s">
        <v>3</v>
      </c>
      <c r="B209" s="20">
        <v>11</v>
      </c>
      <c r="C209">
        <v>13.0023353705164</v>
      </c>
      <c r="D209" s="31">
        <v>99082</v>
      </c>
      <c r="E209" s="32">
        <f t="shared" si="6"/>
        <v>1288297.3931815061</v>
      </c>
    </row>
    <row r="210" spans="1:5" x14ac:dyDescent="0.3">
      <c r="A210" s="5" t="s">
        <v>3</v>
      </c>
      <c r="B210" s="22">
        <v>12</v>
      </c>
      <c r="C210" s="5">
        <v>10.885151466047301</v>
      </c>
      <c r="D210" s="39">
        <v>28090</v>
      </c>
      <c r="E210" s="33">
        <f t="shared" si="6"/>
        <v>305763.90468126867</v>
      </c>
    </row>
    <row r="211" spans="1:5" x14ac:dyDescent="0.3">
      <c r="A211" t="s">
        <v>4</v>
      </c>
      <c r="B211" s="21">
        <v>1</v>
      </c>
      <c r="C211">
        <v>9.5325390097427505</v>
      </c>
      <c r="D211" s="31">
        <v>113037</v>
      </c>
      <c r="E211" s="32">
        <f t="shared" si="6"/>
        <v>1077529.6120442913</v>
      </c>
    </row>
    <row r="212" spans="1:5" x14ac:dyDescent="0.3">
      <c r="A212" t="s">
        <v>4</v>
      </c>
      <c r="B212" s="21">
        <v>2</v>
      </c>
      <c r="C212">
        <v>9.3639356095376396</v>
      </c>
      <c r="D212" s="31">
        <v>124144</v>
      </c>
      <c r="E212" s="32">
        <f t="shared" si="6"/>
        <v>1162476.4223104408</v>
      </c>
    </row>
    <row r="213" spans="1:5" x14ac:dyDescent="0.3">
      <c r="A213" t="s">
        <v>4</v>
      </c>
      <c r="B213" s="24">
        <v>3</v>
      </c>
      <c r="C213">
        <v>10.506533299919401</v>
      </c>
      <c r="D213" s="31">
        <v>212268</v>
      </c>
      <c r="E213" s="32">
        <f t="shared" si="6"/>
        <v>2230200.8105072915</v>
      </c>
    </row>
    <row r="214" spans="1:5" x14ac:dyDescent="0.3">
      <c r="A214" t="s">
        <v>4</v>
      </c>
      <c r="B214" s="24">
        <v>4</v>
      </c>
      <c r="C214">
        <v>10.7084321326442</v>
      </c>
      <c r="D214" s="31">
        <v>262137</v>
      </c>
      <c r="E214" s="32">
        <f t="shared" si="6"/>
        <v>2807076.2739549526</v>
      </c>
    </row>
    <row r="215" spans="1:5" x14ac:dyDescent="0.3">
      <c r="A215" t="s">
        <v>4</v>
      </c>
      <c r="B215" s="24">
        <v>5</v>
      </c>
      <c r="C215">
        <v>11.371362574917599</v>
      </c>
      <c r="D215" s="31">
        <v>319845</v>
      </c>
      <c r="E215" s="32">
        <f t="shared" si="6"/>
        <v>3637073.4627745193</v>
      </c>
    </row>
    <row r="216" spans="1:5" x14ac:dyDescent="0.3">
      <c r="A216" t="s">
        <v>4</v>
      </c>
      <c r="B216" s="19">
        <v>6</v>
      </c>
      <c r="C216">
        <v>12.281926559271</v>
      </c>
      <c r="D216" s="31">
        <v>386795</v>
      </c>
      <c r="E216" s="32">
        <f t="shared" si="6"/>
        <v>4750587.7834932264</v>
      </c>
    </row>
    <row r="217" spans="1:5" x14ac:dyDescent="0.3">
      <c r="A217" t="s">
        <v>4</v>
      </c>
      <c r="B217" s="19">
        <v>7</v>
      </c>
      <c r="C217">
        <v>12.3034963588285</v>
      </c>
      <c r="D217" s="31">
        <v>440106</v>
      </c>
      <c r="E217" s="32">
        <f t="shared" si="6"/>
        <v>5414842.5684985761</v>
      </c>
    </row>
    <row r="218" spans="1:5" x14ac:dyDescent="0.3">
      <c r="A218" t="s">
        <v>4</v>
      </c>
      <c r="B218" s="19">
        <v>8</v>
      </c>
      <c r="C218">
        <v>12.51951455871</v>
      </c>
      <c r="D218" s="31">
        <v>452439</v>
      </c>
      <c r="E218" s="32">
        <f t="shared" si="6"/>
        <v>5664316.6474281941</v>
      </c>
    </row>
    <row r="219" spans="1:5" x14ac:dyDescent="0.3">
      <c r="A219" t="s">
        <v>4</v>
      </c>
      <c r="B219" s="20">
        <v>9</v>
      </c>
      <c r="C219">
        <v>12.048965252966299</v>
      </c>
      <c r="D219" s="31">
        <v>449294</v>
      </c>
      <c r="E219" s="32">
        <f t="shared" si="6"/>
        <v>5413527.7943662405</v>
      </c>
    </row>
    <row r="220" spans="1:5" x14ac:dyDescent="0.3">
      <c r="A220" t="s">
        <v>4</v>
      </c>
      <c r="B220" s="20">
        <v>10</v>
      </c>
      <c r="C220">
        <v>11.2096430155467</v>
      </c>
      <c r="D220" s="31">
        <v>422058</v>
      </c>
      <c r="E220" s="32">
        <f t="shared" si="6"/>
        <v>4731119.5118556088</v>
      </c>
    </row>
    <row r="221" spans="1:5" x14ac:dyDescent="0.3">
      <c r="A221" t="s">
        <v>4</v>
      </c>
      <c r="B221" s="20">
        <v>11</v>
      </c>
      <c r="C221">
        <v>10.4504571567424</v>
      </c>
      <c r="D221" s="31">
        <v>257401</v>
      </c>
      <c r="E221" s="32">
        <f t="shared" si="6"/>
        <v>2689958.1226026504</v>
      </c>
    </row>
    <row r="222" spans="1:5" x14ac:dyDescent="0.3">
      <c r="A222" t="s">
        <v>4</v>
      </c>
      <c r="B222" s="22">
        <v>12</v>
      </c>
      <c r="C222">
        <v>9.8936361731338902</v>
      </c>
      <c r="D222" s="31">
        <v>112455</v>
      </c>
      <c r="E222" s="32">
        <f t="shared" si="6"/>
        <v>1112588.8558497715</v>
      </c>
    </row>
  </sheetData>
  <mergeCells count="3">
    <mergeCell ref="D197:E197"/>
    <mergeCell ref="D85:E85"/>
    <mergeCell ref="D153:E153"/>
  </mergeCells>
  <conditionalFormatting sqref="C87:C1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1:C1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D5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D8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8:D1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5:D1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2:D18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:D1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41D9-0C6A-4DCA-ACAA-06A1882CE3A2}">
  <dimension ref="A1:E16"/>
  <sheetViews>
    <sheetView zoomScale="83" workbookViewId="0">
      <selection activeCell="B3" sqref="B3:B4"/>
    </sheetView>
  </sheetViews>
  <sheetFormatPr defaultRowHeight="14.4" x14ac:dyDescent="0.3"/>
  <cols>
    <col min="1" max="1" width="11.33203125" bestFit="1" customWidth="1"/>
    <col min="2" max="2" width="14.6640625" bestFit="1" customWidth="1"/>
    <col min="3" max="3" width="10.44140625" bestFit="1" customWidth="1"/>
    <col min="4" max="5" width="10.5546875" bestFit="1" customWidth="1"/>
  </cols>
  <sheetData>
    <row r="1" spans="1:5" x14ac:dyDescent="0.3">
      <c r="A1" s="1" t="s">
        <v>0</v>
      </c>
    </row>
    <row r="2" spans="1:5" x14ac:dyDescent="0.3">
      <c r="A2" s="43" t="s">
        <v>46</v>
      </c>
      <c r="B2" s="43" t="s">
        <v>38</v>
      </c>
      <c r="C2" s="43" t="s">
        <v>42</v>
      </c>
    </row>
    <row r="3" spans="1:5" x14ac:dyDescent="0.3">
      <c r="A3" t="s">
        <v>3</v>
      </c>
      <c r="B3" s="48">
        <v>2000084</v>
      </c>
      <c r="C3" s="23">
        <f>B3/SUM($B$3:$B$4)</f>
        <v>0.36024158947764101</v>
      </c>
    </row>
    <row r="4" spans="1:5" x14ac:dyDescent="0.3">
      <c r="A4" t="s">
        <v>4</v>
      </c>
      <c r="B4" s="48">
        <v>3551979</v>
      </c>
      <c r="C4" s="23">
        <f>B4/SUM($B$3:$B$4)</f>
        <v>0.63975841052235893</v>
      </c>
    </row>
    <row r="6" spans="1:5" x14ac:dyDescent="0.3">
      <c r="A6" s="1"/>
    </row>
    <row r="7" spans="1:5" x14ac:dyDescent="0.3">
      <c r="A7" s="43"/>
      <c r="B7" s="43"/>
      <c r="C7" s="43"/>
      <c r="D7" s="43"/>
    </row>
    <row r="8" spans="1:5" x14ac:dyDescent="0.3">
      <c r="C8" s="4"/>
      <c r="D8" s="8"/>
    </row>
    <row r="9" spans="1:5" x14ac:dyDescent="0.3">
      <c r="C9" s="4"/>
    </row>
    <row r="11" spans="1:5" x14ac:dyDescent="0.3">
      <c r="A11" s="1"/>
    </row>
    <row r="12" spans="1:5" x14ac:dyDescent="0.3">
      <c r="A12" s="43"/>
      <c r="B12" s="43"/>
      <c r="C12" s="43"/>
      <c r="D12" s="43"/>
      <c r="E12" s="43"/>
    </row>
    <row r="13" spans="1:5" x14ac:dyDescent="0.3">
      <c r="D13" s="11"/>
      <c r="E13" s="8"/>
    </row>
    <row r="14" spans="1:5" x14ac:dyDescent="0.3">
      <c r="D14" s="11"/>
    </row>
    <row r="15" spans="1:5" x14ac:dyDescent="0.3">
      <c r="D15" s="11"/>
    </row>
    <row r="16" spans="1:5" x14ac:dyDescent="0.3">
      <c r="D16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0673-BE44-428A-AC57-68146E2687F8}">
  <dimension ref="A1"/>
  <sheetViews>
    <sheetView tabSelected="1" topLeftCell="P36" zoomScale="76" workbookViewId="0">
      <selection activeCell="AH61" sqref="AH6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A34C-1EA3-46CF-B0D1-005D3C8D2D50}">
  <dimension ref="A2:D15"/>
  <sheetViews>
    <sheetView topLeftCell="A2" zoomScale="57" workbookViewId="0">
      <selection activeCell="B29" sqref="B29"/>
    </sheetView>
  </sheetViews>
  <sheetFormatPr defaultRowHeight="14.4" x14ac:dyDescent="0.3"/>
  <cols>
    <col min="1" max="1" width="71.21875" bestFit="1" customWidth="1"/>
    <col min="2" max="2" width="23.6640625" bestFit="1" customWidth="1"/>
    <col min="3" max="3" width="15" bestFit="1" customWidth="1"/>
    <col min="4" max="4" width="13.21875" bestFit="1" customWidth="1"/>
  </cols>
  <sheetData>
    <row r="2" spans="1:4" x14ac:dyDescent="0.3">
      <c r="A2" s="43" t="s">
        <v>46</v>
      </c>
      <c r="B2" s="43" t="s">
        <v>49</v>
      </c>
    </row>
    <row r="3" spans="1:4" x14ac:dyDescent="0.3">
      <c r="A3" t="s">
        <v>3</v>
      </c>
      <c r="B3" s="47">
        <v>17.28</v>
      </c>
    </row>
    <row r="4" spans="1:4" x14ac:dyDescent="0.3">
      <c r="A4" t="s">
        <v>4</v>
      </c>
      <c r="B4" s="47">
        <v>11.45</v>
      </c>
    </row>
    <row r="6" spans="1:4" x14ac:dyDescent="0.3">
      <c r="D6" s="36"/>
    </row>
    <row r="7" spans="1:4" x14ac:dyDescent="0.3">
      <c r="A7" s="43" t="s">
        <v>50</v>
      </c>
      <c r="B7" s="43" t="s">
        <v>3</v>
      </c>
      <c r="C7" s="43" t="s">
        <v>4</v>
      </c>
      <c r="D7" s="36"/>
    </row>
    <row r="8" spans="1:4" x14ac:dyDescent="0.3">
      <c r="A8" t="s">
        <v>73</v>
      </c>
      <c r="B8" s="23">
        <v>0.44424426714615151</v>
      </c>
      <c r="C8" s="23">
        <v>0.57834061938334658</v>
      </c>
      <c r="D8" s="36"/>
    </row>
    <row r="9" spans="1:4" x14ac:dyDescent="0.3">
      <c r="A9" s="12" t="s">
        <v>72</v>
      </c>
      <c r="B9" s="23">
        <v>0.29221529244811406</v>
      </c>
      <c r="C9" s="23">
        <v>0.28393146064785635</v>
      </c>
      <c r="D9" s="36"/>
    </row>
    <row r="10" spans="1:4" x14ac:dyDescent="0.3">
      <c r="A10" t="s">
        <v>74</v>
      </c>
      <c r="B10" s="23">
        <v>0.1738093846253084</v>
      </c>
      <c r="C10" s="23">
        <v>0.11694822378030226</v>
      </c>
      <c r="D10" s="36"/>
    </row>
    <row r="11" spans="1:4" x14ac:dyDescent="0.3">
      <c r="A11" t="s">
        <v>75</v>
      </c>
      <c r="B11" s="42">
        <v>8.9731055780426047E-2</v>
      </c>
      <c r="C11" s="23">
        <v>2.0779696188494783E-2</v>
      </c>
      <c r="D11" s="36"/>
    </row>
    <row r="12" spans="1:4" x14ac:dyDescent="0.3">
      <c r="D12" s="36"/>
    </row>
    <row r="13" spans="1:4" x14ac:dyDescent="0.3">
      <c r="D13" s="36"/>
    </row>
    <row r="14" spans="1:4" x14ac:dyDescent="0.3">
      <c r="D14" s="36"/>
    </row>
    <row r="15" spans="1:4" x14ac:dyDescent="0.3">
      <c r="D15" s="3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2D7E-B454-4ACB-9CE6-C7ED3B031C2A}">
  <dimension ref="A1:Y57"/>
  <sheetViews>
    <sheetView topLeftCell="W1" zoomScale="53" workbookViewId="0">
      <selection activeCell="V16" sqref="V16"/>
    </sheetView>
  </sheetViews>
  <sheetFormatPr defaultRowHeight="14.4" x14ac:dyDescent="0.3"/>
  <cols>
    <col min="1" max="1" width="26.33203125" bestFit="1" customWidth="1"/>
    <col min="2" max="2" width="10.33203125" bestFit="1" customWidth="1"/>
    <col min="3" max="3" width="19.33203125" bestFit="1" customWidth="1"/>
    <col min="4" max="4" width="14.21875" bestFit="1" customWidth="1"/>
    <col min="5" max="5" width="34.77734375" bestFit="1" customWidth="1"/>
    <col min="7" max="7" width="31.6640625" bestFit="1" customWidth="1"/>
    <col min="8" max="8" width="10.21875" bestFit="1" customWidth="1"/>
    <col min="9" max="9" width="19.33203125" bestFit="1" customWidth="1"/>
    <col min="10" max="10" width="12" bestFit="1" customWidth="1"/>
  </cols>
  <sheetData>
    <row r="1" spans="1:25" x14ac:dyDescent="0.3">
      <c r="B1" t="s">
        <v>24</v>
      </c>
      <c r="C1" t="s">
        <v>25</v>
      </c>
      <c r="D1" t="s">
        <v>26</v>
      </c>
      <c r="E1" t="s">
        <v>27</v>
      </c>
    </row>
    <row r="2" spans="1:25" x14ac:dyDescent="0.3">
      <c r="A2" t="s">
        <v>3</v>
      </c>
      <c r="B2" s="50">
        <v>16.036538808954397</v>
      </c>
      <c r="C2" s="50">
        <v>19.652495373034771</v>
      </c>
      <c r="D2" s="50">
        <v>16.06170236522183</v>
      </c>
      <c r="E2" s="50">
        <v>13.516800110641801</v>
      </c>
    </row>
    <row r="3" spans="1:25" x14ac:dyDescent="0.3">
      <c r="A3" t="s">
        <v>4</v>
      </c>
      <c r="B3" s="50">
        <v>10.536837987942993</v>
      </c>
      <c r="C3" s="50">
        <v>11.752223362855732</v>
      </c>
      <c r="D3" s="50">
        <v>11.940964858071164</v>
      </c>
      <c r="E3" s="50">
        <v>10.897184744739567</v>
      </c>
    </row>
    <row r="4" spans="1:25" x14ac:dyDescent="0.3">
      <c r="B4" s="3"/>
      <c r="C4" s="3"/>
      <c r="D4" s="4"/>
    </row>
    <row r="5" spans="1:25" x14ac:dyDescent="0.3">
      <c r="B5" s="49">
        <v>0</v>
      </c>
      <c r="C5" s="49">
        <v>1</v>
      </c>
      <c r="D5" s="49">
        <v>2</v>
      </c>
      <c r="E5" s="49">
        <v>3</v>
      </c>
      <c r="F5" s="49">
        <v>4</v>
      </c>
      <c r="G5" s="49">
        <v>5</v>
      </c>
      <c r="H5" s="49">
        <v>6</v>
      </c>
      <c r="I5" s="49">
        <v>7</v>
      </c>
      <c r="J5" s="49">
        <v>8</v>
      </c>
      <c r="K5" s="49">
        <v>9</v>
      </c>
      <c r="L5" s="49">
        <v>10</v>
      </c>
      <c r="M5" s="49">
        <v>11</v>
      </c>
      <c r="N5" s="49">
        <v>12</v>
      </c>
      <c r="O5" s="49">
        <v>13</v>
      </c>
      <c r="P5" s="49">
        <v>14</v>
      </c>
      <c r="Q5" s="49">
        <v>15</v>
      </c>
      <c r="R5" s="49">
        <v>16</v>
      </c>
      <c r="S5" s="49">
        <v>17</v>
      </c>
      <c r="T5" s="49">
        <v>18</v>
      </c>
      <c r="U5" s="49">
        <v>19</v>
      </c>
      <c r="V5" s="49">
        <v>20</v>
      </c>
      <c r="W5" s="49">
        <v>21</v>
      </c>
      <c r="X5" s="49">
        <v>22</v>
      </c>
      <c r="Y5" s="49">
        <v>23</v>
      </c>
    </row>
    <row r="6" spans="1:25" x14ac:dyDescent="0.3">
      <c r="A6" t="s">
        <v>3</v>
      </c>
      <c r="B6" s="4">
        <v>1.9444683323300422E-2</v>
      </c>
      <c r="C6" s="4">
        <v>1.2435977688937064E-2</v>
      </c>
      <c r="D6" s="4">
        <v>8.3431495877173151E-3</v>
      </c>
      <c r="E6" s="4">
        <v>4.6263056951608029E-3</v>
      </c>
      <c r="F6" s="4">
        <v>3.6398471264206902E-3</v>
      </c>
      <c r="G6" s="4">
        <v>5.7602580691610951E-3</v>
      </c>
      <c r="H6" s="4">
        <v>1.3315440751488437E-2</v>
      </c>
      <c r="I6" s="4">
        <v>2.4845456490827384E-2</v>
      </c>
      <c r="J6" s="4">
        <v>3.5280018239233955E-2</v>
      </c>
      <c r="K6" s="4">
        <v>3.5443011393521469E-2</v>
      </c>
      <c r="L6" s="4">
        <v>4.2762703966433412E-2</v>
      </c>
      <c r="M6" s="4">
        <v>5.4662204187424131E-2</v>
      </c>
      <c r="N6" s="4">
        <v>6.4336797854490105E-2</v>
      </c>
      <c r="O6" s="4">
        <v>6.5933230804306214E-2</v>
      </c>
      <c r="P6" s="4">
        <v>6.946008267652759E-2</v>
      </c>
      <c r="Q6" s="4">
        <v>7.7148259773089534E-2</v>
      </c>
      <c r="R6" s="4">
        <v>8.7946306255137288E-2</v>
      </c>
      <c r="S6" s="4">
        <v>9.5367494565228264E-2</v>
      </c>
      <c r="T6" s="4">
        <v>8.1944558328550202E-2</v>
      </c>
      <c r="U6" s="4">
        <v>6.096693938854568E-2</v>
      </c>
      <c r="V6" s="4">
        <v>4.3959153715543944E-2</v>
      </c>
      <c r="W6" s="4">
        <v>3.758992122330862E-2</v>
      </c>
      <c r="X6" s="4">
        <v>3.1765665842034635E-2</v>
      </c>
      <c r="Y6" s="4">
        <v>2.3022533053611748E-2</v>
      </c>
    </row>
    <row r="7" spans="1:25" x14ac:dyDescent="0.3">
      <c r="A7" t="s">
        <v>4</v>
      </c>
      <c r="B7" s="4">
        <v>9.125053948798683E-3</v>
      </c>
      <c r="C7" s="4">
        <v>5.6284116544607953E-3</v>
      </c>
      <c r="D7" s="4">
        <v>3.4031732732654105E-3</v>
      </c>
      <c r="E7" s="4">
        <v>2.2243937816073798E-3</v>
      </c>
      <c r="F7" s="4">
        <v>2.4884719194567312E-3</v>
      </c>
      <c r="G7" s="4">
        <v>9.6571516892414062E-3</v>
      </c>
      <c r="H7" s="4">
        <v>2.8425562200677424E-2</v>
      </c>
      <c r="I7" s="4">
        <v>5.6232314436543682E-2</v>
      </c>
      <c r="J7" s="4">
        <v>7.2334605581846068E-2</v>
      </c>
      <c r="K7" s="4">
        <v>4.6939185169732139E-2</v>
      </c>
      <c r="L7" s="4">
        <v>4.0328222661226321E-2</v>
      </c>
      <c r="M7" s="4">
        <v>4.7324322581862109E-2</v>
      </c>
      <c r="N7" s="4">
        <v>5.3554933742569984E-2</v>
      </c>
      <c r="O7" s="4">
        <v>5.2065060069330364E-2</v>
      </c>
      <c r="P7" s="4">
        <v>5.2861799014014443E-2</v>
      </c>
      <c r="Q7" s="4">
        <v>6.6765597431741569E-2</v>
      </c>
      <c r="R7" s="4">
        <v>9.4211987176725992E-2</v>
      </c>
      <c r="S7" s="4">
        <v>0.10761212270680655</v>
      </c>
      <c r="T7" s="4">
        <v>8.3305954230022197E-2</v>
      </c>
      <c r="U7" s="4">
        <v>5.7583673777350596E-2</v>
      </c>
      <c r="V7" s="4">
        <v>3.9876080348448008E-2</v>
      </c>
      <c r="W7" s="4">
        <v>3.1141794475699321E-2</v>
      </c>
      <c r="X7">
        <v>2.27188843177282E-2</v>
      </c>
      <c r="Y7" s="37">
        <v>1.4191243810844602E-2</v>
      </c>
    </row>
    <row r="11" spans="1:25" x14ac:dyDescent="0.3">
      <c r="D11" s="4"/>
    </row>
    <row r="12" spans="1:25" x14ac:dyDescent="0.3">
      <c r="D12" s="4"/>
    </row>
    <row r="13" spans="1:25" x14ac:dyDescent="0.3">
      <c r="D13" s="4"/>
    </row>
    <row r="18" spans="4:5" x14ac:dyDescent="0.3">
      <c r="D18" s="4"/>
    </row>
    <row r="19" spans="4:5" x14ac:dyDescent="0.3">
      <c r="D19" s="4"/>
    </row>
    <row r="20" spans="4:5" x14ac:dyDescent="0.3">
      <c r="D20" s="4"/>
    </row>
    <row r="21" spans="4:5" x14ac:dyDescent="0.3">
      <c r="D21" s="4"/>
    </row>
    <row r="22" spans="4:5" x14ac:dyDescent="0.3">
      <c r="D22" s="4"/>
    </row>
    <row r="23" spans="4:5" x14ac:dyDescent="0.3">
      <c r="D23" s="4"/>
    </row>
    <row r="24" spans="4:5" x14ac:dyDescent="0.3">
      <c r="D24" s="4"/>
    </row>
    <row r="25" spans="4:5" x14ac:dyDescent="0.3">
      <c r="D25" s="4"/>
    </row>
    <row r="26" spans="4:5" x14ac:dyDescent="0.3">
      <c r="D26" s="4"/>
    </row>
    <row r="27" spans="4:5" x14ac:dyDescent="0.3">
      <c r="D27" s="4"/>
      <c r="E27" s="4"/>
    </row>
    <row r="28" spans="4:5" x14ac:dyDescent="0.3">
      <c r="D28" s="4"/>
    </row>
    <row r="29" spans="4:5" x14ac:dyDescent="0.3">
      <c r="D29" s="4"/>
    </row>
    <row r="30" spans="4:5" x14ac:dyDescent="0.3">
      <c r="D30" s="4"/>
    </row>
    <row r="31" spans="4:5" x14ac:dyDescent="0.3">
      <c r="D31" s="4"/>
    </row>
    <row r="32" spans="4:5" x14ac:dyDescent="0.3">
      <c r="D32" s="4"/>
    </row>
    <row r="33" spans="4:4" x14ac:dyDescent="0.3">
      <c r="D33" s="4"/>
    </row>
    <row r="34" spans="4:4" x14ac:dyDescent="0.3">
      <c r="D34" s="4"/>
    </row>
    <row r="35" spans="4:4" x14ac:dyDescent="0.3">
      <c r="D35" s="4"/>
    </row>
    <row r="36" spans="4:4" x14ac:dyDescent="0.3">
      <c r="D36" s="4"/>
    </row>
    <row r="37" spans="4:4" x14ac:dyDescent="0.3">
      <c r="D37" s="4"/>
    </row>
    <row r="38" spans="4:4" x14ac:dyDescent="0.3">
      <c r="D38" s="4"/>
    </row>
    <row r="39" spans="4:4" x14ac:dyDescent="0.3">
      <c r="D39" s="4"/>
    </row>
    <row r="40" spans="4:4" x14ac:dyDescent="0.3">
      <c r="D40" s="4"/>
    </row>
    <row r="41" spans="4:4" x14ac:dyDescent="0.3">
      <c r="D41" s="4"/>
    </row>
    <row r="42" spans="4:4" x14ac:dyDescent="0.3">
      <c r="D42" s="4"/>
    </row>
    <row r="43" spans="4:4" x14ac:dyDescent="0.3">
      <c r="D43" s="4"/>
    </row>
    <row r="44" spans="4:4" x14ac:dyDescent="0.3">
      <c r="D44" s="4"/>
    </row>
    <row r="45" spans="4:4" x14ac:dyDescent="0.3">
      <c r="D45" s="4"/>
    </row>
    <row r="46" spans="4:4" x14ac:dyDescent="0.3">
      <c r="D46" s="4"/>
    </row>
    <row r="47" spans="4:4" x14ac:dyDescent="0.3">
      <c r="D47" s="4"/>
    </row>
    <row r="48" spans="4:4" x14ac:dyDescent="0.3">
      <c r="D48" s="4"/>
    </row>
    <row r="50" spans="3:4" x14ac:dyDescent="0.3">
      <c r="C50" s="3"/>
      <c r="D50" s="37"/>
    </row>
    <row r="51" spans="3:4" x14ac:dyDescent="0.3">
      <c r="C51" s="3"/>
      <c r="D51" s="37"/>
    </row>
    <row r="52" spans="3:4" x14ac:dyDescent="0.3">
      <c r="C52" s="3"/>
      <c r="D52" s="37"/>
    </row>
    <row r="53" spans="3:4" x14ac:dyDescent="0.3">
      <c r="C53" s="3"/>
      <c r="D53" s="46"/>
    </row>
    <row r="54" spans="3:4" x14ac:dyDescent="0.3">
      <c r="C54" s="3"/>
      <c r="D54" s="46"/>
    </row>
    <row r="55" spans="3:4" x14ac:dyDescent="0.3">
      <c r="C55" s="3"/>
      <c r="D55" s="46"/>
    </row>
    <row r="56" spans="3:4" x14ac:dyDescent="0.3">
      <c r="C56" s="3"/>
      <c r="D56" s="46"/>
    </row>
    <row r="57" spans="3:4" x14ac:dyDescent="0.3">
      <c r="C57" s="3"/>
      <c r="D57" s="4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8126-5E11-40B0-AC60-BA48732C205A}">
  <dimension ref="A1:H18"/>
  <sheetViews>
    <sheetView zoomScale="67" workbookViewId="0">
      <selection activeCell="G19" sqref="G19"/>
    </sheetView>
  </sheetViews>
  <sheetFormatPr defaultRowHeight="14.4" x14ac:dyDescent="0.3"/>
  <cols>
    <col min="1" max="1" width="8.5546875" bestFit="1" customWidth="1"/>
    <col min="2" max="2" width="12" customWidth="1"/>
    <col min="3" max="3" width="12" bestFit="1" customWidth="1"/>
    <col min="4" max="8" width="7.109375" bestFit="1" customWidth="1"/>
    <col min="9" max="9" width="19.33203125" bestFit="1" customWidth="1"/>
  </cols>
  <sheetData>
    <row r="1" spans="1:8" x14ac:dyDescent="0.3">
      <c r="B1" t="s">
        <v>22</v>
      </c>
      <c r="C1" t="s">
        <v>23</v>
      </c>
      <c r="D1" s="4"/>
    </row>
    <row r="2" spans="1:8" x14ac:dyDescent="0.3">
      <c r="A2" t="s">
        <v>3</v>
      </c>
      <c r="B2" s="51">
        <v>15.974431623697352</v>
      </c>
      <c r="C2" s="51">
        <v>19.490755956790242</v>
      </c>
      <c r="D2" s="4"/>
    </row>
    <row r="3" spans="1:8" x14ac:dyDescent="0.3">
      <c r="A3" t="s">
        <v>4</v>
      </c>
      <c r="B3" s="51">
        <v>11.143059969577546</v>
      </c>
      <c r="C3" s="51">
        <v>12.482658834524486</v>
      </c>
      <c r="D3" s="4"/>
    </row>
    <row r="4" spans="1:8" x14ac:dyDescent="0.3">
      <c r="D4" s="4"/>
    </row>
    <row r="5" spans="1:8" x14ac:dyDescent="0.3"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</row>
    <row r="6" spans="1:8" x14ac:dyDescent="0.3">
      <c r="A6" t="s">
        <v>3</v>
      </c>
      <c r="B6" s="4">
        <v>0.1662230186332174</v>
      </c>
      <c r="C6" s="4">
        <v>0.11440719489781428</v>
      </c>
      <c r="D6" s="4">
        <v>0.11353473154127526</v>
      </c>
      <c r="E6" s="4">
        <v>0.11025336935848694</v>
      </c>
      <c r="F6" s="4">
        <v>0.12863709724191583</v>
      </c>
      <c r="G6" s="4">
        <v>0.15997578101719728</v>
      </c>
      <c r="H6" s="4">
        <v>0.20696880731009298</v>
      </c>
    </row>
    <row r="7" spans="1:8" x14ac:dyDescent="0.3">
      <c r="A7" t="s">
        <v>4</v>
      </c>
      <c r="B7" s="37">
        <v>0.1075828432544224</v>
      </c>
      <c r="C7" s="37">
        <v>0.14199183046971842</v>
      </c>
      <c r="D7" s="37">
        <v>0.16023940456855179</v>
      </c>
      <c r="E7" s="37">
        <v>0.15446544025175823</v>
      </c>
      <c r="F7" s="37">
        <v>0.16080641242529869</v>
      </c>
      <c r="G7" s="37">
        <v>0.14849496576415569</v>
      </c>
      <c r="H7" s="37">
        <v>0.12641910326609476</v>
      </c>
    </row>
    <row r="8" spans="1:8" x14ac:dyDescent="0.3">
      <c r="D8" s="4"/>
    </row>
    <row r="9" spans="1:8" x14ac:dyDescent="0.3">
      <c r="D9" s="4"/>
    </row>
    <row r="10" spans="1:8" x14ac:dyDescent="0.3">
      <c r="D10" s="37"/>
    </row>
    <row r="11" spans="1:8" x14ac:dyDescent="0.3">
      <c r="D11" s="37"/>
    </row>
    <row r="12" spans="1:8" x14ac:dyDescent="0.3">
      <c r="D12" s="37"/>
    </row>
    <row r="13" spans="1:8" x14ac:dyDescent="0.3">
      <c r="D13" s="37"/>
    </row>
    <row r="14" spans="1:8" x14ac:dyDescent="0.3">
      <c r="D14" s="37"/>
    </row>
    <row r="15" spans="1:8" x14ac:dyDescent="0.3">
      <c r="D15" s="37"/>
    </row>
    <row r="16" spans="1:8" x14ac:dyDescent="0.3">
      <c r="C16" s="38"/>
      <c r="D16" s="37"/>
    </row>
    <row r="17" spans="3:3" x14ac:dyDescent="0.3">
      <c r="C17" s="38"/>
    </row>
    <row r="18" spans="3:3" x14ac:dyDescent="0.3">
      <c r="C18" s="3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4662-2422-4161-AFD2-C59BA35EE3E1}">
  <dimension ref="A1:M26"/>
  <sheetViews>
    <sheetView zoomScale="46" workbookViewId="0">
      <selection activeCell="AD31" sqref="AD31"/>
    </sheetView>
  </sheetViews>
  <sheetFormatPr defaultRowHeight="14.4" x14ac:dyDescent="0.3"/>
  <cols>
    <col min="2" max="3" width="9.88671875" bestFit="1" customWidth="1"/>
  </cols>
  <sheetData>
    <row r="1" spans="1:13" x14ac:dyDescent="0.3">
      <c r="B1" t="s">
        <v>3</v>
      </c>
      <c r="C1" t="s">
        <v>4</v>
      </c>
      <c r="D1" s="37"/>
    </row>
    <row r="2" spans="1:13" x14ac:dyDescent="0.3">
      <c r="A2" t="s">
        <v>33</v>
      </c>
      <c r="B2" s="50">
        <v>17.002607685096869</v>
      </c>
      <c r="C2" s="50">
        <v>10.921436005334295</v>
      </c>
      <c r="D2" s="37"/>
    </row>
    <row r="3" spans="1:13" x14ac:dyDescent="0.3">
      <c r="A3" t="s">
        <v>34</v>
      </c>
      <c r="B3" s="50">
        <v>18.78040028730684</v>
      </c>
      <c r="C3" s="50">
        <v>12.373369862132034</v>
      </c>
      <c r="D3" s="37"/>
    </row>
    <row r="4" spans="1:13" x14ac:dyDescent="0.3">
      <c r="A4" t="s">
        <v>35</v>
      </c>
      <c r="B4" s="50">
        <v>15.966412451916934</v>
      </c>
      <c r="C4" s="50">
        <v>11.370605817946442</v>
      </c>
      <c r="D4" s="37"/>
    </row>
    <row r="5" spans="1:13" x14ac:dyDescent="0.3">
      <c r="A5" t="s">
        <v>36</v>
      </c>
      <c r="B5" s="50">
        <v>10.556509682765629</v>
      </c>
      <c r="C5" s="50">
        <v>9.588814910948825</v>
      </c>
      <c r="D5" s="37"/>
    </row>
    <row r="6" spans="1:13" x14ac:dyDescent="0.3">
      <c r="D6" s="37"/>
    </row>
    <row r="7" spans="1:13" x14ac:dyDescent="0.3"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60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</row>
    <row r="8" spans="1:13" x14ac:dyDescent="0.3">
      <c r="A8" t="s">
        <v>3</v>
      </c>
      <c r="B8" s="37">
        <v>1.2370480439821528E-2</v>
      </c>
      <c r="C8" s="37">
        <v>1.3877917127480646E-2</v>
      </c>
      <c r="D8" s="37">
        <v>4.2929196973727102E-2</v>
      </c>
      <c r="E8" s="37">
        <v>5.461720607734475E-2</v>
      </c>
      <c r="F8" s="37">
        <v>9.1381161991196364E-2</v>
      </c>
      <c r="G8" s="37">
        <v>0.14599686813153848</v>
      </c>
      <c r="H8" s="37">
        <v>0.16166920989318448</v>
      </c>
      <c r="I8" s="37">
        <v>0.16893190485999587</v>
      </c>
      <c r="J8" s="37">
        <v>0.13262842960595655</v>
      </c>
      <c r="K8" s="37">
        <v>0.11201429539959322</v>
      </c>
      <c r="L8" s="37">
        <v>4.9538919365386652E-2</v>
      </c>
      <c r="M8" s="37">
        <v>1.4044410134774339E-2</v>
      </c>
    </row>
    <row r="9" spans="1:13" x14ac:dyDescent="0.3">
      <c r="A9" t="s">
        <v>4</v>
      </c>
      <c r="B9" s="37">
        <v>3.1823667876414809E-2</v>
      </c>
      <c r="C9" s="37">
        <v>3.4950657084402807E-2</v>
      </c>
      <c r="D9" s="37">
        <v>5.9760488448833735E-2</v>
      </c>
      <c r="E9" s="37">
        <v>7.3800267400229561E-2</v>
      </c>
      <c r="F9" s="37">
        <v>9.0046985075080674E-2</v>
      </c>
      <c r="G9" s="37">
        <v>0.10889563254737711</v>
      </c>
      <c r="H9" s="37">
        <v>0.1239044487594099</v>
      </c>
      <c r="I9" s="37">
        <v>0.12737659766569565</v>
      </c>
      <c r="J9" s="37">
        <v>0.12649117576427113</v>
      </c>
      <c r="K9" s="37">
        <v>0.1188233376379759</v>
      </c>
      <c r="L9" s="37">
        <v>7.2466926183966746E-2</v>
      </c>
      <c r="M9" s="37">
        <v>3.1659815556341973E-2</v>
      </c>
    </row>
    <row r="10" spans="1:13" x14ac:dyDescent="0.3">
      <c r="D10" s="37"/>
    </row>
    <row r="11" spans="1:13" x14ac:dyDescent="0.3">
      <c r="D11" s="37"/>
    </row>
    <row r="12" spans="1:13" x14ac:dyDescent="0.3">
      <c r="D12" s="37"/>
    </row>
    <row r="13" spans="1:13" x14ac:dyDescent="0.3">
      <c r="D13" s="37"/>
    </row>
    <row r="14" spans="1:13" x14ac:dyDescent="0.3">
      <c r="D14" s="37"/>
    </row>
    <row r="15" spans="1:13" x14ac:dyDescent="0.3">
      <c r="D15" s="37"/>
    </row>
    <row r="16" spans="1:13" x14ac:dyDescent="0.3">
      <c r="D16" s="37"/>
    </row>
    <row r="17" spans="4:4" x14ac:dyDescent="0.3">
      <c r="D17" s="37"/>
    </row>
    <row r="18" spans="4:4" x14ac:dyDescent="0.3">
      <c r="D18" s="37"/>
    </row>
    <row r="19" spans="4:4" x14ac:dyDescent="0.3">
      <c r="D19" s="37"/>
    </row>
    <row r="20" spans="4:4" x14ac:dyDescent="0.3">
      <c r="D20" s="37"/>
    </row>
    <row r="21" spans="4:4" x14ac:dyDescent="0.3">
      <c r="D21" s="37"/>
    </row>
    <row r="22" spans="4:4" x14ac:dyDescent="0.3">
      <c r="D22" s="37"/>
    </row>
    <row r="23" spans="4:4" x14ac:dyDescent="0.3">
      <c r="D23" s="37"/>
    </row>
    <row r="24" spans="4:4" x14ac:dyDescent="0.3">
      <c r="D24" s="37"/>
    </row>
    <row r="25" spans="4:4" x14ac:dyDescent="0.3">
      <c r="D25" s="37"/>
    </row>
    <row r="26" spans="4:4" x14ac:dyDescent="0.3">
      <c r="D26" s="37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Tables &amp; Calculations</vt:lpstr>
      <vt:lpstr>user &amp; bike type</vt:lpstr>
      <vt:lpstr>Visualizations</vt:lpstr>
      <vt:lpstr>Average ride duration </vt:lpstr>
      <vt:lpstr>rides by hour of day </vt:lpstr>
      <vt:lpstr>Number of rides by day of week </vt:lpstr>
      <vt:lpstr>rides by month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ALA MAHMOUD ALSHAWESH</cp:lastModifiedBy>
  <dcterms:created xsi:type="dcterms:W3CDTF">2015-06-05T18:17:20Z</dcterms:created>
  <dcterms:modified xsi:type="dcterms:W3CDTF">2026-03-30T12:16:03Z</dcterms:modified>
</cp:coreProperties>
</file>